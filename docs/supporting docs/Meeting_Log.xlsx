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eting_log" sheetId="1" r:id="rId5"/>
    <sheet state="visible" name="actions_log" sheetId="2" r:id="rId6"/>
    <sheet state="visible" name="analytics_log" sheetId="3" r:id="rId7"/>
  </sheets>
  <definedNames/>
  <calcPr/>
</workbook>
</file>

<file path=xl/sharedStrings.xml><?xml version="1.0" encoding="utf-8"?>
<sst xmlns="http://schemas.openxmlformats.org/spreadsheetml/2006/main" count="808" uniqueCount="236">
  <si>
    <t>meeting_id</t>
  </si>
  <si>
    <t>meeting_title</t>
  </si>
  <si>
    <t>meeting_date</t>
  </si>
  <si>
    <t>source</t>
  </si>
  <si>
    <t>summary</t>
  </si>
  <si>
    <t>action_count</t>
  </si>
  <si>
    <t>risk_count</t>
  </si>
  <si>
    <t>decision_count</t>
  </si>
  <si>
    <t>status</t>
  </si>
  <si>
    <t>processed_at</t>
  </si>
  <si>
    <t>M108</t>
  </si>
  <si>
    <t>Product Launch Review</t>
  </si>
  <si>
    <t>Make.com</t>
  </si>
  <si>
    <t>The team confirmed the launch timeline for next Monday, contingent upon the completion of key tasks, including Sarah finalizing the landing page by Thursday and David completing payment gateway testing by tomorrow, while awaiting approval of the marketing campaign budget.</t>
  </si>
  <si>
    <t>Processed</t>
  </si>
  <si>
    <t>2026-04-29T16:04:28.016Z</t>
  </si>
  <si>
    <t>M200</t>
  </si>
  <si>
    <t>Critical Release Readiness</t>
  </si>
  <si>
    <t>The meeting resulted in the assignment of key action items to team members, including completion of API deployment, bug fixes, and release preparation, with a go-live plan approved for next Monday, contingent upon budget approval and timely resolution of outstanding issues.</t>
  </si>
  <si>
    <t>2026-04-29T16:52:35.134Z</t>
  </si>
  <si>
    <t>The meeting resulted in the assignment of key tasks and deadlines to team members, including API deployment, bug fixes, and release preparations, with a planned go-live date of next Monday, pending budget approval and resolution of a critical payment bug.</t>
  </si>
  <si>
    <t>2026-04-29T17:07:02.752Z</t>
  </si>
  <si>
    <t>M302</t>
  </si>
  <si>
    <t>Sprint Planning</t>
  </si>
  <si>
    <t>The team held a meeting where they reviewed and approved the sprint backlog, assigned tasks to team members, including John to complete the API module by Friday and Mary to build a dashboard by next Tuesday, and designated Rahul to follow up with QA the next day.</t>
  </si>
  <si>
    <t>2026-04-29T17:10:20.856Z</t>
  </si>
  <si>
    <t>M303</t>
  </si>
  <si>
    <t>Bug Triage</t>
  </si>
  <si>
    <t>The meeting concluded with action items assigned to Priya to resolve the login bug promptly and to David to investigate the timeout issue, both of which are urgent due to a rapid increase in customer complaints.</t>
  </si>
  <si>
    <t>2026-04-29T17:11:49.859Z</t>
  </si>
  <si>
    <t>M304</t>
  </si>
  <si>
    <t>Steering Committee</t>
  </si>
  <si>
    <t>The board meeting culminated in the approval of the CRM migration budget, with action items assigned to John to initiate vendor onboarding and to Sarah to distribute an executive summary via email by the end of the day.</t>
  </si>
  <si>
    <t>2026-04-29T17:13:50.853Z</t>
  </si>
  <si>
    <t>M305</t>
  </si>
  <si>
    <t>Incident Response</t>
  </si>
  <si>
    <t>The meeting concluded with urgent action items, including Priya restoring the Production API to service immediately and John notifying all customers, due to the high revenue impact risk associated with the current downtime.</t>
  </si>
  <si>
    <t>2026-04-29T17:19:30.892Z</t>
  </si>
  <si>
    <t>M306</t>
  </si>
  <si>
    <t>Client Delivery Review</t>
  </si>
  <si>
    <t>The meeting concluded with action items for Rahul to deliver the dashboard by Thursday and Anita to send a revised timeline to the client, with a noted risk of delay if the testing schedule is not maintained.</t>
  </si>
  <si>
    <t>2026-04-29T17:20:01.073Z</t>
  </si>
  <si>
    <t>M307</t>
  </si>
  <si>
    <t>Hiring Review</t>
  </si>
  <si>
    <t>The meeting concluded with action items for Sarah to schedule interviews for the next day and for John to finalize the job description by the end of the day, following the team's approval to move forward with hiring two engineers.</t>
  </si>
  <si>
    <t>2026-04-29T17:22:39.439Z</t>
  </si>
  <si>
    <t>M308</t>
  </si>
  <si>
    <t>Finance Approval</t>
  </si>
  <si>
    <t>The cloud migration project's timeline may be delayed by two weeks due to a pending budget approval, and Mary is tasked with following up with the finance team tomorrow to expedite the process.</t>
  </si>
  <si>
    <t>2026-04-29T17:24:24.204Z</t>
  </si>
  <si>
    <t>The cloud migration project is currently on hold pending budget approval, which Mary will follow up on with the finance team tomorrow, and is anticipated to result in a potential two-week delay.</t>
  </si>
  <si>
    <t>2026-04-29T17:26:49.219Z</t>
  </si>
  <si>
    <t>The meeting concluded with a pending budget for cloud migration, which Mary will follow up on with the finance team, potentially resulting in a two-week delay in the migration timeline.</t>
  </si>
  <si>
    <t>2026-04-29T17:27:19.224Z</t>
  </si>
  <si>
    <t>AUTO123</t>
  </si>
  <si>
    <t>sample_transcript.txt</t>
  </si>
  <si>
    <t>React Upload</t>
  </si>
  <si>
    <t>The weekly product sync meeting reviewed the current status of the project, including outstanding tasks such as API integration, UI polishing, and bug resolution, and established action items and next steps, including a review meeting scheduled for Monday.</t>
  </si>
  <si>
    <t>2026-04-30T17:31:57.242Z</t>
  </si>
  <si>
    <t>The weekly product sync meeting on April 30, 2026, addressed key project updates, including API integration, UI dashboard polishing, testing scenarios, and open bugs, while also discussing upcoming features, potential risks, and action items for the team to complete by the next review on Monday.</t>
  </si>
  <si>
    <t>2026-04-30T17:38:05.512Z</t>
  </si>
  <si>
    <t>MTG-96a34c0b</t>
  </si>
  <si>
    <t>client_deleivery_review.txt</t>
  </si>
  <si>
    <t>Meeting Title: Client Delivery Review Date: 2026-05-02 Amy: Client requested final analytics export module. John: Is development complete?</t>
  </si>
  <si>
    <t>success</t>
  </si>
  <si>
    <t>2026-05-01T07:29:53.155Z</t>
  </si>
  <si>
    <t>MTG-1178b247</t>
  </si>
  <si>
    <t>2026-05-01T07:30:52.647Z</t>
  </si>
  <si>
    <t>MTG-9ca76956</t>
  </si>
  <si>
    <t>Sprint Planning.txt</t>
  </si>
  <si>
    <t>Meeting Title: Sprint Planning - Product Release Date: 2026-05-01 John: Welcome everyone. Today we need to finalize priorities for next sprint. Mary: Frontend dashboard redesign should be top priority.</t>
  </si>
  <si>
    <t>2026-05-01T07:38:19.944Z</t>
  </si>
  <si>
    <t>MTG-651b53c2</t>
  </si>
  <si>
    <t>Retro Meeting.txt</t>
  </si>
  <si>
    <t>2026-05-01T17:15:07.533Z</t>
  </si>
  <si>
    <t>MTG-34a106ab</t>
  </si>
  <si>
    <t>The weekly meeting on April 4, 2026, resulted in action items for the team, including completing the API integration by Friday, refining the UI dashboard, and developing testing scenarios to ensure project progress.</t>
  </si>
  <si>
    <t>2026-05-01T17:20:01.775Z</t>
  </si>
  <si>
    <t>MTG-effa845a</t>
  </si>
  <si>
    <t>Sprint Closure.txt</t>
  </si>
  <si>
    <t>The sprint planning meeting concluded with the team finalizing priorities and assigning action items to individual owners, aiming to address key tasks such as dashboard redesign, API optimization, QA automation, and Jira cleanup, while mitigating risks to meet the product release target of May 15.</t>
  </si>
  <si>
    <t>2026-05-01T17:25:43.286Z</t>
  </si>
  <si>
    <t>MTG-d88a5ef1</t>
  </si>
  <si>
    <t>During the weekly meeting held on April 4, 2026, the team discussed ongoing project tasks, with key action items including completing API integration by Friday, polishing the UI dashboard, and handling testing scenarios throughout the week.</t>
  </si>
  <si>
    <t>2026-05-01T17:28:11.055Z</t>
  </si>
  <si>
    <t>MTG-810f5554</t>
  </si>
  <si>
    <t>The sprint planning meeting discussed and identified key priorities for the upcoming sprint, including frontend dashboard redesign, backend API optimization, completion of QA automation scripts, Jira cleanup, and clear assignment of task owners to ensure a successful product release.</t>
  </si>
  <si>
    <t>2026-05-01T17:30:47.207Z</t>
  </si>
  <si>
    <t>MTG-98fef798</t>
  </si>
  <si>
    <t>Client Delivery Readiness Review.txt</t>
  </si>
  <si>
    <t>The Client Delivery Readiness Review meeting confirmed the project's status and assigned action items to ensure the analytics export module is finalized by the client demo scheduled for Friday, with daily status updates and a follow-up meeting tomorrow to monitor progress and address any potential blockers.</t>
  </si>
  <si>
    <t>2026-05-01T18:12:13.552Z</t>
  </si>
  <si>
    <t>MTG-75205596</t>
  </si>
  <si>
    <t>The team reviewed the client delivery readiness and assigned action items to ensure the analytics export module is finalized by the client demo on Friday, with key tasks including completing the UI export flow, frontend fixes, and regression testing, and daily status updates to mitigate potential risks and delays.</t>
  </si>
  <si>
    <t>2026-05-02T04:11:26.696Z</t>
  </si>
  <si>
    <t>The team reviewed the client delivery readiness and assigned action items to ensure timely completion of the analytics export module, with a focus on meeting the scheduled client demo on Friday and mitigating potential risks related to UI completion, branding assets, and regression testing.</t>
  </si>
  <si>
    <t>2026-05-02T04:17:05.513Z</t>
  </si>
  <si>
    <t>The meeting concluded with a review of the current status and action items for the client delivery readiness, with all team members assigned specific tasks to ensure the analytics export module is complete and demo-ready by Friday, pending timely completion of outstanding tasks and receipt of final branding assets from the client.</t>
  </si>
  <si>
    <t>2026-05-02T04:19:44.151Z</t>
  </si>
  <si>
    <t>Jira_id</t>
  </si>
  <si>
    <t>jira_type</t>
  </si>
  <si>
    <t>priority</t>
  </si>
  <si>
    <t>owner</t>
  </si>
  <si>
    <t>task</t>
  </si>
  <si>
    <t>due_date</t>
  </si>
  <si>
    <t>dedup_key</t>
  </si>
  <si>
    <t>M105</t>
  </si>
  <si>
    <t>release</t>
  </si>
  <si>
    <t>Task</t>
  </si>
  <si>
    <t>Medium</t>
  </si>
  <si>
    <t>Amy</t>
  </si>
  <si>
    <t>Complete API</t>
  </si>
  <si>
    <t>Friday</t>
  </si>
  <si>
    <t>Task Jira Ticket Created</t>
  </si>
  <si>
    <t>m105|amy|release</t>
  </si>
  <si>
    <t>Bug</t>
  </si>
  <si>
    <t>Bhaskar</t>
  </si>
  <si>
    <t>Fix dashboard bug</t>
  </si>
  <si>
    <t>Tomorrow</t>
  </si>
  <si>
    <t>Bug Jira Ticket Created</t>
  </si>
  <si>
    <t>m105|bhaskar|bug</t>
  </si>
  <si>
    <t>Story</t>
  </si>
  <si>
    <t>Rupam</t>
  </si>
  <si>
    <t>Build analytics feature</t>
  </si>
  <si>
    <t>Backlog</t>
  </si>
  <si>
    <t>Story Jira ticket Created</t>
  </si>
  <si>
    <t>m105|rupam|story</t>
  </si>
  <si>
    <t>M107</t>
  </si>
  <si>
    <t>John</t>
  </si>
  <si>
    <t xml:space="preserve"> Jira Ticket Created</t>
  </si>
  <si>
    <t>m107|john|sprint planning</t>
  </si>
  <si>
    <t>Mary</t>
  </si>
  <si>
    <t>m107|mary|sprint planning</t>
  </si>
  <si>
    <t>High</t>
  </si>
  <si>
    <t>Sarah</t>
  </si>
  <si>
    <t>Finalize landing page</t>
  </si>
  <si>
    <t>Thursday</t>
  </si>
  <si>
    <t>m108|sarah|product launch review</t>
  </si>
  <si>
    <t>David</t>
  </si>
  <si>
    <t>Complete payment gateway testing</t>
  </si>
  <si>
    <t>m108|david|product launch review</t>
  </si>
  <si>
    <t>Complete API deployment</t>
  </si>
  <si>
    <t>m200|john|critical release readiness</t>
  </si>
  <si>
    <t>Priya</t>
  </si>
  <si>
    <t>Fix payment bug</t>
  </si>
  <si>
    <t>Immediately</t>
  </si>
  <si>
    <t>m200|priya|bug</t>
  </si>
  <si>
    <t>Low</t>
  </si>
  <si>
    <t>Send release readiness email</t>
  </si>
  <si>
    <t>Today</t>
  </si>
  <si>
    <t>m200|sarah|critical release readiness</t>
  </si>
  <si>
    <t>Prepare rollback document</t>
  </si>
  <si>
    <t>m200|mary|critical release readiness</t>
  </si>
  <si>
    <t>Rahul</t>
  </si>
  <si>
    <t>Follow up with QA team</t>
  </si>
  <si>
    <t>In two days</t>
  </si>
  <si>
    <t>m200|rahul|critical release readiness</t>
  </si>
  <si>
    <t>Complete API module</t>
  </si>
  <si>
    <t>m302|john|sprint planning</t>
  </si>
  <si>
    <t>Build dashboard</t>
  </si>
  <si>
    <t>Next Tuesday</t>
  </si>
  <si>
    <t>m302|mary|sprint planning</t>
  </si>
  <si>
    <t>Follow up with QA</t>
  </si>
  <si>
    <t>m302|rahul|sprint planning</t>
  </si>
  <si>
    <t>Fix login bug</t>
  </si>
  <si>
    <t>m303|priya|bug</t>
  </si>
  <si>
    <t>Investigate timeout issue</t>
  </si>
  <si>
    <t>m303|david|bug triage</t>
  </si>
  <si>
    <t>Restore Production API service</t>
  </si>
  <si>
    <t>m305|priya|incident response</t>
  </si>
  <si>
    <t>Notify all customers about API downtime</t>
  </si>
  <si>
    <t>m305|john|incident response</t>
  </si>
  <si>
    <t>Schedule interviews</t>
  </si>
  <si>
    <t>m307|sarah|hiring review</t>
  </si>
  <si>
    <t>Finalize job description</t>
  </si>
  <si>
    <t>m307|john|hiring review</t>
  </si>
  <si>
    <t>Follow up with finance team</t>
  </si>
  <si>
    <t>m308|mary|finance approval</t>
  </si>
  <si>
    <t>Team</t>
  </si>
  <si>
    <t>Plan for potential migration delay</t>
  </si>
  <si>
    <t>ASAP</t>
  </si>
  <si>
    <t>m308|team|finance approval</t>
  </si>
  <si>
    <t>Finish API integration</t>
  </si>
  <si>
    <t>auto123|john|sample_transcript.txt</t>
  </si>
  <si>
    <t>Polish UI dashboard</t>
  </si>
  <si>
    <t>auto123|mary|sample_transcript.txt</t>
  </si>
  <si>
    <t>Handle testing scenarios</t>
  </si>
  <si>
    <t>This week</t>
  </si>
  <si>
    <t>auto123|priya|sample_transcript.txt</t>
  </si>
  <si>
    <t>Resolve Jira bug MEET-204</t>
  </si>
  <si>
    <t>auto123|rahul|sample_transcript.txt</t>
  </si>
  <si>
    <t>Develop analytics export feature</t>
  </si>
  <si>
    <t>Next sprint</t>
  </si>
  <si>
    <t>auto123|sarah|story</t>
  </si>
  <si>
    <t>Send follow-up notes</t>
  </si>
  <si>
    <t>Mitigate risk of delayed finance team approval</t>
  </si>
  <si>
    <t>auto123|amy|sample_transcript.txt</t>
  </si>
  <si>
    <t>Schedule next review</t>
  </si>
  <si>
    <t>Monday</t>
  </si>
  <si>
    <t>auto123|david|sample_transcript.txt</t>
  </si>
  <si>
    <t>Close Jira bug MEET-204</t>
  </si>
  <si>
    <t>auto123|sarah|sample_transcript.txt</t>
  </si>
  <si>
    <t>Mitigate risk of delayed approval from finance team</t>
  </si>
  <si>
    <t>Complete export UI</t>
  </si>
  <si>
    <t>tomorrow</t>
  </si>
  <si>
    <t>mtg-98fef798|mary|story</t>
  </si>
  <si>
    <t>Complete frontend fixes</t>
  </si>
  <si>
    <t>today</t>
  </si>
  <si>
    <t>mtg-98fef798|david|bug</t>
  </si>
  <si>
    <t>Finish regression tests</t>
  </si>
  <si>
    <t>mtg-98fef798|rahul|client delivery readiness review.txt</t>
  </si>
  <si>
    <t>Send updated client agenda</t>
  </si>
  <si>
    <t>mtg-98fef798|sarah|client delivery readiness review.txt</t>
  </si>
  <si>
    <t>Monitor backend logs daily</t>
  </si>
  <si>
    <t>mtg-98fef798|john|client delivery readiness review.txt</t>
  </si>
  <si>
    <t>Get final branding assets from client</t>
  </si>
  <si>
    <t>tomorrow morning</t>
  </si>
  <si>
    <t>mtg-98fef798|mary|client delivery readiness review.txt</t>
  </si>
  <si>
    <t>Support UI validation testing</t>
  </si>
  <si>
    <t>mtg-98fef798|david|client delivery readiness review.txt</t>
  </si>
  <si>
    <t>All</t>
  </si>
  <si>
    <t>Send daily status updates</t>
  </si>
  <si>
    <t>mtg-98fef798|all|client delivery readiness review.txt</t>
  </si>
  <si>
    <t>mtg-75205596|mary|story</t>
  </si>
  <si>
    <t>mtg-75205596|david|client delivery readiness review.txt</t>
  </si>
  <si>
    <t>mtg-75205596|rahul|client delivery readiness review.txt</t>
  </si>
  <si>
    <t>mtg-75205596|sarah|client delivery readiness review.txt</t>
  </si>
  <si>
    <t>mtg-75205596|john|client delivery readiness review.txt</t>
  </si>
  <si>
    <t>Client</t>
  </si>
  <si>
    <t>Provide final branding assets</t>
  </si>
  <si>
    <t>mtg-75205596|client|client delivery readiness review.txt</t>
  </si>
  <si>
    <t>mtg-75205596|mary|client delivery readiness review.txt</t>
  </si>
  <si>
    <t>total_actions</t>
  </si>
  <si>
    <t>high_priority</t>
  </si>
  <si>
    <t>risks</t>
  </si>
  <si>
    <t>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</si>
</sst>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4">
    <font>
      <sz val="10.0"/>
      <color rgb="FF000000"/>
      <name val="Arial"/>
      <scheme val="minor"/>
    </font>
    <font>
      <b/>
      <color theme="1"/>
      <name val="Arial"/>
      <scheme val="minor"/>
    </font>
    <font>
      <b/>
      <u/>
      <color rgb="FF0000FF"/>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164" xfId="0" applyAlignment="1" applyFont="1" applyNumberFormat="1">
      <alignment horizontal="center" readingOrder="0"/>
    </xf>
    <xf borderId="0" fillId="0" fontId="2" numFmtId="0" xfId="0" applyAlignment="1" applyFont="1">
      <alignment horizontal="center" readingOrder="0"/>
    </xf>
    <xf borderId="0" fillId="0" fontId="1" numFmtId="165" xfId="0" applyAlignment="1" applyFont="1" applyNumberFormat="1">
      <alignment horizontal="center" readingOrder="0"/>
    </xf>
    <xf borderId="0" fillId="0" fontId="3" numFmtId="0" xfId="0" applyAlignment="1" applyFont="1">
      <alignment shrinkToFit="0" wrapText="1"/>
    </xf>
    <xf borderId="0" fillId="0" fontId="3" numFmtId="0" xfId="0" applyAlignment="1" applyFont="1">
      <alignment readingOrder="0"/>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make.com" TargetMode="External"/><Relationship Id="rId10" Type="http://schemas.openxmlformats.org/officeDocument/2006/relationships/hyperlink" Target="http://make.com" TargetMode="External"/><Relationship Id="rId13" Type="http://schemas.openxmlformats.org/officeDocument/2006/relationships/drawing" Target="../drawings/drawing1.xml"/><Relationship Id="rId12" Type="http://schemas.openxmlformats.org/officeDocument/2006/relationships/hyperlink" Target="http://make.com" TargetMode="External"/><Relationship Id="rId1" Type="http://schemas.openxmlformats.org/officeDocument/2006/relationships/hyperlink" Target="http://make.com" TargetMode="External"/><Relationship Id="rId2" Type="http://schemas.openxmlformats.org/officeDocument/2006/relationships/hyperlink" Target="http://make.com" TargetMode="External"/><Relationship Id="rId3" Type="http://schemas.openxmlformats.org/officeDocument/2006/relationships/hyperlink" Target="http://make.com" TargetMode="External"/><Relationship Id="rId4" Type="http://schemas.openxmlformats.org/officeDocument/2006/relationships/hyperlink" Target="http://make.com" TargetMode="External"/><Relationship Id="rId9" Type="http://schemas.openxmlformats.org/officeDocument/2006/relationships/hyperlink" Target="http://make.com" TargetMode="External"/><Relationship Id="rId5" Type="http://schemas.openxmlformats.org/officeDocument/2006/relationships/hyperlink" Target="http://make.com" TargetMode="External"/><Relationship Id="rId6" Type="http://schemas.openxmlformats.org/officeDocument/2006/relationships/hyperlink" Target="http://make.com" TargetMode="External"/><Relationship Id="rId7" Type="http://schemas.openxmlformats.org/officeDocument/2006/relationships/hyperlink" Target="http://make.com" TargetMode="External"/><Relationship Id="rId8" Type="http://schemas.openxmlformats.org/officeDocument/2006/relationships/hyperlink" Target="http://make.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25"/>
    <col customWidth="1" min="5" max="5" width="44.75"/>
    <col customWidth="1" min="10" max="10" width="21.38"/>
  </cols>
  <sheetData>
    <row r="1">
      <c r="A1" s="1" t="s">
        <v>0</v>
      </c>
      <c r="B1" s="1" t="s">
        <v>1</v>
      </c>
      <c r="C1" s="1" t="s">
        <v>2</v>
      </c>
      <c r="D1" s="1" t="s">
        <v>3</v>
      </c>
      <c r="E1" s="2" t="s">
        <v>4</v>
      </c>
      <c r="F1" s="1" t="s">
        <v>5</v>
      </c>
      <c r="G1" s="1" t="s">
        <v>6</v>
      </c>
      <c r="H1" s="1" t="s">
        <v>7</v>
      </c>
      <c r="I1" s="1" t="s">
        <v>8</v>
      </c>
      <c r="J1" s="1" t="s">
        <v>9</v>
      </c>
    </row>
    <row r="2">
      <c r="A2" s="1" t="s">
        <v>10</v>
      </c>
      <c r="B2" s="1" t="s">
        <v>11</v>
      </c>
      <c r="C2" s="3">
        <v>46141.0</v>
      </c>
      <c r="D2" s="4" t="s">
        <v>12</v>
      </c>
      <c r="E2" s="2" t="s">
        <v>13</v>
      </c>
      <c r="F2" s="1">
        <v>2.0</v>
      </c>
      <c r="G2" s="1">
        <v>4.0</v>
      </c>
      <c r="H2" s="1">
        <v>2.0</v>
      </c>
      <c r="I2" s="1" t="s">
        <v>14</v>
      </c>
      <c r="J2" s="1" t="s">
        <v>15</v>
      </c>
    </row>
    <row r="3">
      <c r="A3" s="1" t="s">
        <v>16</v>
      </c>
      <c r="B3" s="1" t="s">
        <v>17</v>
      </c>
      <c r="C3" s="3">
        <v>46141.0</v>
      </c>
      <c r="D3" s="4" t="s">
        <v>12</v>
      </c>
      <c r="E3" s="2" t="s">
        <v>18</v>
      </c>
      <c r="F3" s="1">
        <v>5.0</v>
      </c>
      <c r="G3" s="1">
        <v>3.0</v>
      </c>
      <c r="H3" s="1">
        <v>6.0</v>
      </c>
      <c r="I3" s="1" t="s">
        <v>14</v>
      </c>
      <c r="J3" s="1" t="s">
        <v>19</v>
      </c>
    </row>
    <row r="4">
      <c r="A4" s="1" t="s">
        <v>16</v>
      </c>
      <c r="B4" s="1" t="s">
        <v>17</v>
      </c>
      <c r="C4" s="3">
        <v>46141.0</v>
      </c>
      <c r="D4" s="4" t="s">
        <v>12</v>
      </c>
      <c r="E4" s="2" t="s">
        <v>20</v>
      </c>
      <c r="F4" s="1">
        <v>5.0</v>
      </c>
      <c r="G4" s="1">
        <v>3.0</v>
      </c>
      <c r="H4" s="1">
        <v>6.0</v>
      </c>
      <c r="I4" s="1" t="s">
        <v>14</v>
      </c>
      <c r="J4" s="1" t="s">
        <v>21</v>
      </c>
    </row>
    <row r="5">
      <c r="A5" s="1" t="s">
        <v>22</v>
      </c>
      <c r="B5" s="1" t="s">
        <v>23</v>
      </c>
      <c r="C5" s="3">
        <v>46141.0</v>
      </c>
      <c r="D5" s="4" t="s">
        <v>12</v>
      </c>
      <c r="E5" s="2" t="s">
        <v>24</v>
      </c>
      <c r="F5" s="1">
        <v>3.0</v>
      </c>
      <c r="G5" s="1">
        <v>4.0</v>
      </c>
      <c r="H5" s="1">
        <v>4.0</v>
      </c>
      <c r="I5" s="1" t="s">
        <v>14</v>
      </c>
      <c r="J5" s="1" t="s">
        <v>25</v>
      </c>
    </row>
    <row r="6">
      <c r="A6" s="1" t="s">
        <v>26</v>
      </c>
      <c r="B6" s="1" t="s">
        <v>27</v>
      </c>
      <c r="C6" s="3">
        <v>46141.0</v>
      </c>
      <c r="D6" s="4" t="s">
        <v>12</v>
      </c>
      <c r="E6" s="2" t="s">
        <v>28</v>
      </c>
      <c r="F6" s="1">
        <v>2.0</v>
      </c>
      <c r="G6" s="1">
        <v>3.0</v>
      </c>
      <c r="H6" s="1">
        <v>2.0</v>
      </c>
      <c r="I6" s="1" t="s">
        <v>14</v>
      </c>
      <c r="J6" s="1" t="s">
        <v>29</v>
      </c>
    </row>
    <row r="7">
      <c r="A7" s="1" t="s">
        <v>30</v>
      </c>
      <c r="B7" s="1" t="s">
        <v>31</v>
      </c>
      <c r="C7" s="3">
        <v>46141.0</v>
      </c>
      <c r="D7" s="4" t="s">
        <v>12</v>
      </c>
      <c r="E7" s="2" t="s">
        <v>32</v>
      </c>
      <c r="F7" s="1">
        <v>2.0</v>
      </c>
      <c r="G7" s="1">
        <v>4.0</v>
      </c>
      <c r="H7" s="1">
        <v>3.0</v>
      </c>
      <c r="I7" s="1" t="s">
        <v>14</v>
      </c>
      <c r="J7" s="1" t="s">
        <v>33</v>
      </c>
    </row>
    <row r="8">
      <c r="A8" s="1" t="s">
        <v>34</v>
      </c>
      <c r="B8" s="1" t="s">
        <v>35</v>
      </c>
      <c r="C8" s="3">
        <v>46141.0</v>
      </c>
      <c r="D8" s="4" t="s">
        <v>12</v>
      </c>
      <c r="E8" s="2" t="s">
        <v>36</v>
      </c>
      <c r="F8" s="1">
        <v>2.0</v>
      </c>
      <c r="G8" s="1">
        <v>3.0</v>
      </c>
      <c r="H8" s="1">
        <v>2.0</v>
      </c>
      <c r="I8" s="1" t="s">
        <v>14</v>
      </c>
      <c r="J8" s="1" t="s">
        <v>37</v>
      </c>
    </row>
    <row r="9">
      <c r="A9" s="1" t="s">
        <v>38</v>
      </c>
      <c r="B9" s="1" t="s">
        <v>39</v>
      </c>
      <c r="C9" s="3">
        <v>46141.0</v>
      </c>
      <c r="D9" s="4" t="s">
        <v>12</v>
      </c>
      <c r="E9" s="2" t="s">
        <v>40</v>
      </c>
      <c r="F9" s="1">
        <v>3.0</v>
      </c>
      <c r="G9" s="1">
        <v>3.0</v>
      </c>
      <c r="H9" s="1">
        <v>2.0</v>
      </c>
      <c r="I9" s="1" t="s">
        <v>14</v>
      </c>
      <c r="J9" s="1" t="s">
        <v>41</v>
      </c>
    </row>
    <row r="10">
      <c r="A10" s="1" t="s">
        <v>42</v>
      </c>
      <c r="B10" s="1" t="s">
        <v>43</v>
      </c>
      <c r="C10" s="3">
        <v>46141.0</v>
      </c>
      <c r="D10" s="4" t="s">
        <v>12</v>
      </c>
      <c r="E10" s="2" t="s">
        <v>44</v>
      </c>
      <c r="F10" s="1">
        <v>2.0</v>
      </c>
      <c r="G10" s="1">
        <v>5.0</v>
      </c>
      <c r="H10" s="1">
        <v>4.0</v>
      </c>
      <c r="I10" s="1" t="s">
        <v>14</v>
      </c>
      <c r="J10" s="1" t="s">
        <v>45</v>
      </c>
    </row>
    <row r="11">
      <c r="A11" s="1" t="s">
        <v>46</v>
      </c>
      <c r="B11" s="1" t="s">
        <v>47</v>
      </c>
      <c r="C11" s="3">
        <v>46141.0</v>
      </c>
      <c r="D11" s="4" t="s">
        <v>12</v>
      </c>
      <c r="E11" s="2" t="s">
        <v>48</v>
      </c>
      <c r="F11" s="1">
        <v>1.0</v>
      </c>
      <c r="G11" s="1">
        <v>3.0</v>
      </c>
      <c r="H11" s="1">
        <v>2.0</v>
      </c>
      <c r="I11" s="1" t="s">
        <v>14</v>
      </c>
      <c r="J11" s="1" t="s">
        <v>49</v>
      </c>
    </row>
    <row r="12">
      <c r="A12" s="1" t="s">
        <v>46</v>
      </c>
      <c r="B12" s="1" t="s">
        <v>47</v>
      </c>
      <c r="C12" s="3">
        <v>46141.0</v>
      </c>
      <c r="D12" s="4" t="s">
        <v>12</v>
      </c>
      <c r="E12" s="2" t="s">
        <v>50</v>
      </c>
      <c r="F12" s="1">
        <v>1.0</v>
      </c>
      <c r="G12" s="1">
        <v>2.0</v>
      </c>
      <c r="H12" s="1">
        <v>2.0</v>
      </c>
      <c r="I12" s="1" t="s">
        <v>14</v>
      </c>
      <c r="J12" s="1" t="s">
        <v>51</v>
      </c>
    </row>
    <row r="13">
      <c r="A13" s="1" t="s">
        <v>46</v>
      </c>
      <c r="B13" s="1" t="s">
        <v>47</v>
      </c>
      <c r="C13" s="3">
        <v>46141.0</v>
      </c>
      <c r="D13" s="4" t="s">
        <v>12</v>
      </c>
      <c r="E13" s="2" t="s">
        <v>52</v>
      </c>
      <c r="F13" s="1">
        <v>2.0</v>
      </c>
      <c r="G13" s="1">
        <v>3.0</v>
      </c>
      <c r="H13" s="1">
        <v>2.0</v>
      </c>
      <c r="I13" s="1" t="s">
        <v>14</v>
      </c>
      <c r="J13" s="1" t="s">
        <v>53</v>
      </c>
    </row>
    <row r="14">
      <c r="A14" s="1" t="s">
        <v>54</v>
      </c>
      <c r="B14" s="1" t="s">
        <v>55</v>
      </c>
      <c r="C14" s="3">
        <v>46142.0</v>
      </c>
      <c r="D14" s="1" t="s">
        <v>56</v>
      </c>
      <c r="E14" s="2" t="s">
        <v>57</v>
      </c>
      <c r="F14" s="1">
        <v>8.0</v>
      </c>
      <c r="G14" s="1">
        <v>6.0</v>
      </c>
      <c r="H14" s="1">
        <v>7.0</v>
      </c>
      <c r="I14" s="1" t="s">
        <v>14</v>
      </c>
      <c r="J14" s="1" t="s">
        <v>58</v>
      </c>
    </row>
    <row r="15">
      <c r="A15" s="1" t="s">
        <v>54</v>
      </c>
      <c r="B15" s="1" t="s">
        <v>55</v>
      </c>
      <c r="C15" s="3">
        <v>46142.0</v>
      </c>
      <c r="D15" s="1" t="s">
        <v>56</v>
      </c>
      <c r="E15" s="2" t="s">
        <v>59</v>
      </c>
      <c r="F15" s="1">
        <v>8.0</v>
      </c>
      <c r="G15" s="1">
        <v>6.0</v>
      </c>
      <c r="H15" s="1">
        <v>7.0</v>
      </c>
      <c r="I15" s="1" t="s">
        <v>14</v>
      </c>
      <c r="J15" s="1" t="s">
        <v>60</v>
      </c>
    </row>
    <row r="16">
      <c r="A16" s="1" t="s">
        <v>61</v>
      </c>
      <c r="B16" s="1" t="s">
        <v>62</v>
      </c>
      <c r="C16" s="5">
        <v>46143.5415625</v>
      </c>
      <c r="D16" s="1" t="s">
        <v>56</v>
      </c>
      <c r="E16" s="2" t="s">
        <v>63</v>
      </c>
      <c r="F16" s="1"/>
      <c r="G16" s="1"/>
      <c r="H16" s="1"/>
      <c r="I16" s="1" t="s">
        <v>64</v>
      </c>
      <c r="J16" s="1" t="s">
        <v>65</v>
      </c>
    </row>
    <row r="17">
      <c r="A17" s="1" t="s">
        <v>66</v>
      </c>
      <c r="B17" s="1" t="s">
        <v>62</v>
      </c>
      <c r="C17" s="5">
        <v>46143.536099537036</v>
      </c>
      <c r="D17" s="1" t="s">
        <v>56</v>
      </c>
      <c r="E17" s="2" t="s">
        <v>63</v>
      </c>
      <c r="F17" s="1"/>
      <c r="G17" s="1"/>
      <c r="H17" s="1"/>
      <c r="I17" s="1" t="s">
        <v>64</v>
      </c>
      <c r="J17" s="1" t="s">
        <v>67</v>
      </c>
    </row>
    <row r="18">
      <c r="A18" s="1" t="s">
        <v>68</v>
      </c>
      <c r="B18" s="1" t="s">
        <v>69</v>
      </c>
      <c r="C18" s="5">
        <v>46143.547418981485</v>
      </c>
      <c r="D18" s="1" t="s">
        <v>56</v>
      </c>
      <c r="E18" s="2" t="s">
        <v>70</v>
      </c>
      <c r="F18" s="1"/>
      <c r="G18" s="1"/>
      <c r="H18" s="1"/>
      <c r="I18" s="1" t="s">
        <v>64</v>
      </c>
      <c r="J18" s="1" t="s">
        <v>71</v>
      </c>
    </row>
    <row r="19">
      <c r="A19" s="1" t="s">
        <v>72</v>
      </c>
      <c r="B19" s="1" t="s">
        <v>73</v>
      </c>
      <c r="C19" s="5">
        <v>46143.94797453703</v>
      </c>
      <c r="D19" s="1" t="s">
        <v>56</v>
      </c>
      <c r="E19" s="2" t="s">
        <v>70</v>
      </c>
      <c r="F19" s="1"/>
      <c r="G19" s="1"/>
      <c r="H19" s="1"/>
      <c r="I19" s="1" t="s">
        <v>64</v>
      </c>
      <c r="J19" s="1" t="s">
        <v>74</v>
      </c>
    </row>
    <row r="20">
      <c r="A20" s="1" t="s">
        <v>75</v>
      </c>
      <c r="B20" s="1" t="s">
        <v>55</v>
      </c>
      <c r="C20" s="5">
        <v>46143.95135416667</v>
      </c>
      <c r="D20" s="1" t="s">
        <v>56</v>
      </c>
      <c r="E20" s="2" t="s">
        <v>76</v>
      </c>
      <c r="F20" s="1"/>
      <c r="G20" s="1"/>
      <c r="H20" s="1"/>
      <c r="I20" s="1" t="s">
        <v>64</v>
      </c>
      <c r="J20" s="1" t="s">
        <v>77</v>
      </c>
    </row>
    <row r="21">
      <c r="A21" s="1" t="s">
        <v>78</v>
      </c>
      <c r="B21" s="1" t="s">
        <v>79</v>
      </c>
      <c r="C21" s="5">
        <v>46143.9553125</v>
      </c>
      <c r="D21" s="1" t="s">
        <v>56</v>
      </c>
      <c r="E21" s="2" t="s">
        <v>80</v>
      </c>
      <c r="F21" s="1"/>
      <c r="G21" s="1"/>
      <c r="H21" s="1"/>
      <c r="I21" s="1" t="s">
        <v>64</v>
      </c>
      <c r="J21" s="1" t="s">
        <v>81</v>
      </c>
    </row>
    <row r="22">
      <c r="A22" s="1" t="s">
        <v>82</v>
      </c>
      <c r="B22" s="1" t="s">
        <v>55</v>
      </c>
      <c r="C22" s="5">
        <v>46143.95701388889</v>
      </c>
      <c r="D22" s="1" t="s">
        <v>56</v>
      </c>
      <c r="E22" s="2" t="s">
        <v>83</v>
      </c>
      <c r="F22" s="1"/>
      <c r="G22" s="1"/>
      <c r="H22" s="1"/>
      <c r="I22" s="1" t="s">
        <v>64</v>
      </c>
      <c r="J22" s="1" t="s">
        <v>84</v>
      </c>
    </row>
    <row r="23">
      <c r="A23" s="1" t="s">
        <v>85</v>
      </c>
      <c r="B23" s="1" t="s">
        <v>69</v>
      </c>
      <c r="C23" s="5">
        <v>46143.958819444444</v>
      </c>
      <c r="D23" s="1" t="s">
        <v>56</v>
      </c>
      <c r="E23" s="2" t="s">
        <v>86</v>
      </c>
      <c r="F23" s="1"/>
      <c r="G23" s="1"/>
      <c r="H23" s="1"/>
      <c r="I23" s="1" t="s">
        <v>64</v>
      </c>
      <c r="J23" s="1" t="s">
        <v>87</v>
      </c>
    </row>
    <row r="24">
      <c r="A24" s="1" t="s">
        <v>88</v>
      </c>
      <c r="B24" s="1" t="s">
        <v>89</v>
      </c>
      <c r="C24" s="5">
        <v>46143.98758101852</v>
      </c>
      <c r="D24" s="1" t="s">
        <v>56</v>
      </c>
      <c r="E24" s="2" t="s">
        <v>90</v>
      </c>
      <c r="F24" s="1"/>
      <c r="G24" s="1"/>
      <c r="H24" s="1"/>
      <c r="I24" s="1" t="s">
        <v>64</v>
      </c>
      <c r="J24" s="1" t="s">
        <v>91</v>
      </c>
    </row>
    <row r="25">
      <c r="A25" s="1" t="s">
        <v>92</v>
      </c>
      <c r="B25" s="1" t="s">
        <v>89</v>
      </c>
      <c r="C25" s="5">
        <v>46144.40369212963</v>
      </c>
      <c r="D25" s="1" t="s">
        <v>56</v>
      </c>
      <c r="E25" s="2" t="s">
        <v>93</v>
      </c>
      <c r="F25" s="1"/>
      <c r="G25" s="1"/>
      <c r="H25" s="1"/>
      <c r="I25" s="1" t="s">
        <v>64</v>
      </c>
      <c r="J25" s="1" t="s">
        <v>94</v>
      </c>
    </row>
    <row r="26">
      <c r="A26" s="1" t="s">
        <v>92</v>
      </c>
      <c r="B26" s="1" t="s">
        <v>89</v>
      </c>
      <c r="C26" s="5">
        <v>46144.40369212963</v>
      </c>
      <c r="D26" s="1" t="s">
        <v>56</v>
      </c>
      <c r="E26" s="2" t="s">
        <v>95</v>
      </c>
      <c r="F26" s="1"/>
      <c r="G26" s="1"/>
      <c r="H26" s="1"/>
      <c r="I26" s="1" t="s">
        <v>64</v>
      </c>
      <c r="J26" s="1" t="s">
        <v>96</v>
      </c>
    </row>
    <row r="27">
      <c r="A27" s="1" t="s">
        <v>92</v>
      </c>
      <c r="B27" s="1" t="s">
        <v>89</v>
      </c>
      <c r="C27" s="5">
        <v>46144.40369212963</v>
      </c>
      <c r="D27" s="1" t="s">
        <v>56</v>
      </c>
      <c r="E27" s="2" t="s">
        <v>97</v>
      </c>
      <c r="F27" s="1"/>
      <c r="G27" s="1"/>
      <c r="H27" s="1"/>
      <c r="I27" s="1" t="s">
        <v>64</v>
      </c>
      <c r="J27" s="1" t="s">
        <v>98</v>
      </c>
    </row>
    <row r="28">
      <c r="A28" s="1"/>
      <c r="B28" s="1"/>
      <c r="C28" s="1"/>
      <c r="D28" s="1"/>
      <c r="E28" s="2"/>
      <c r="F28" s="1"/>
      <c r="G28" s="1"/>
      <c r="H28" s="1"/>
      <c r="I28" s="1"/>
      <c r="J28" s="1"/>
    </row>
    <row r="29">
      <c r="A29" s="1"/>
      <c r="B29" s="1"/>
      <c r="C29" s="1"/>
      <c r="D29" s="1"/>
      <c r="E29" s="2"/>
      <c r="F29" s="1"/>
      <c r="G29" s="1"/>
      <c r="H29" s="1"/>
      <c r="I29" s="1"/>
      <c r="J29" s="1"/>
    </row>
    <row r="30">
      <c r="A30" s="1"/>
      <c r="B30" s="1"/>
      <c r="C30" s="1"/>
      <c r="D30" s="1"/>
      <c r="E30" s="2"/>
      <c r="F30" s="1"/>
      <c r="G30" s="1"/>
      <c r="H30" s="1"/>
      <c r="I30" s="1"/>
      <c r="J30" s="1"/>
    </row>
    <row r="31">
      <c r="A31" s="1"/>
      <c r="B31" s="1"/>
      <c r="C31" s="1"/>
      <c r="D31" s="1"/>
      <c r="E31" s="2"/>
      <c r="F31" s="1"/>
      <c r="G31" s="1"/>
      <c r="H31" s="1"/>
      <c r="I31" s="1"/>
      <c r="J31" s="1"/>
    </row>
    <row r="32">
      <c r="A32" s="1"/>
      <c r="B32" s="1"/>
      <c r="C32" s="1"/>
      <c r="D32" s="1"/>
      <c r="E32" s="2"/>
      <c r="F32" s="1"/>
      <c r="G32" s="1"/>
      <c r="H32" s="1"/>
      <c r="I32" s="1"/>
      <c r="J32" s="1"/>
    </row>
    <row r="33">
      <c r="A33" s="1"/>
      <c r="B33" s="1"/>
      <c r="C33" s="1"/>
      <c r="D33" s="1"/>
      <c r="E33" s="2"/>
      <c r="F33" s="1"/>
      <c r="G33" s="1"/>
      <c r="H33" s="1"/>
      <c r="I33" s="1"/>
      <c r="J33" s="1"/>
    </row>
    <row r="34">
      <c r="A34" s="1"/>
      <c r="B34" s="1"/>
      <c r="C34" s="3"/>
      <c r="D34" s="1"/>
      <c r="E34" s="2"/>
      <c r="F34" s="1"/>
      <c r="G34" s="1"/>
      <c r="H34" s="1"/>
      <c r="I34" s="1"/>
      <c r="J34" s="1"/>
    </row>
    <row r="35">
      <c r="A35" s="1"/>
      <c r="B35" s="1"/>
      <c r="C35" s="3"/>
      <c r="D35" s="1"/>
      <c r="E35" s="2"/>
      <c r="F35" s="1"/>
      <c r="G35" s="1"/>
      <c r="H35" s="1"/>
      <c r="I35" s="1"/>
      <c r="J35" s="1"/>
    </row>
    <row r="36">
      <c r="A36" s="1"/>
      <c r="B36" s="1"/>
      <c r="C36" s="3"/>
      <c r="D36" s="1"/>
      <c r="E36" s="2"/>
      <c r="F36" s="1"/>
      <c r="G36" s="1"/>
      <c r="H36" s="1"/>
      <c r="I36" s="1"/>
      <c r="J36" s="1"/>
    </row>
    <row r="37">
      <c r="A37" s="1"/>
      <c r="B37" s="1"/>
      <c r="C37" s="1"/>
      <c r="D37" s="1"/>
      <c r="E37" s="2"/>
      <c r="F37" s="1"/>
      <c r="G37" s="1"/>
      <c r="H37" s="1"/>
      <c r="I37" s="1"/>
      <c r="J37" s="1"/>
    </row>
    <row r="38">
      <c r="A38" s="1"/>
      <c r="B38" s="1"/>
      <c r="C38" s="1"/>
      <c r="D38" s="1"/>
      <c r="E38" s="2"/>
      <c r="F38" s="1"/>
      <c r="G38" s="1"/>
      <c r="H38" s="1"/>
      <c r="I38" s="1"/>
      <c r="J38" s="1"/>
    </row>
    <row r="39">
      <c r="A39" s="1"/>
      <c r="B39" s="1"/>
      <c r="C39" s="1"/>
      <c r="D39" s="1"/>
      <c r="E39" s="2"/>
      <c r="F39" s="1"/>
      <c r="G39" s="1"/>
      <c r="H39" s="1"/>
      <c r="I39" s="1"/>
      <c r="J39" s="1"/>
    </row>
    <row r="40">
      <c r="A40" s="1"/>
      <c r="B40" s="1"/>
      <c r="C40" s="1"/>
      <c r="D40" s="1"/>
      <c r="E40" s="2"/>
      <c r="F40" s="1"/>
      <c r="G40" s="1"/>
      <c r="H40" s="1"/>
      <c r="I40" s="1"/>
      <c r="J40" s="1"/>
    </row>
    <row r="41">
      <c r="A41" s="1"/>
      <c r="B41" s="1"/>
      <c r="C41" s="1"/>
      <c r="D41" s="1"/>
      <c r="E41" s="2"/>
      <c r="F41" s="1"/>
      <c r="G41" s="1"/>
      <c r="H41" s="1"/>
      <c r="I41" s="1"/>
      <c r="J41" s="1"/>
    </row>
    <row r="42">
      <c r="A42" s="1"/>
      <c r="B42" s="1"/>
      <c r="C42" s="1"/>
      <c r="D42" s="1"/>
      <c r="E42" s="2"/>
      <c r="F42" s="1"/>
      <c r="G42" s="1"/>
      <c r="H42" s="1"/>
      <c r="I42" s="1"/>
      <c r="J42" s="1"/>
    </row>
    <row r="43">
      <c r="A43" s="1"/>
      <c r="B43" s="1"/>
      <c r="C43" s="1"/>
      <c r="D43" s="1"/>
      <c r="E43" s="2"/>
      <c r="F43" s="1"/>
      <c r="G43" s="1"/>
      <c r="H43" s="1"/>
      <c r="I43" s="1"/>
      <c r="J43" s="1"/>
    </row>
    <row r="44">
      <c r="A44" s="1"/>
      <c r="B44" s="1"/>
      <c r="C44" s="1"/>
      <c r="D44" s="1"/>
      <c r="E44" s="2"/>
      <c r="F44" s="1"/>
      <c r="G44" s="1"/>
      <c r="H44" s="1"/>
      <c r="I44" s="1"/>
      <c r="J44" s="1"/>
    </row>
    <row r="45">
      <c r="A45" s="1"/>
      <c r="B45" s="1"/>
      <c r="C45" s="1"/>
      <c r="D45" s="1"/>
      <c r="E45" s="2"/>
      <c r="F45" s="1"/>
      <c r="G45" s="1"/>
      <c r="H45" s="1"/>
      <c r="I45" s="1"/>
      <c r="J45" s="1"/>
    </row>
    <row r="46">
      <c r="A46" s="1"/>
      <c r="B46" s="1"/>
      <c r="C46" s="1"/>
      <c r="D46" s="1"/>
      <c r="E46" s="2"/>
      <c r="F46" s="1"/>
      <c r="G46" s="1"/>
      <c r="H46" s="1"/>
      <c r="I46" s="1"/>
      <c r="J46" s="1"/>
    </row>
    <row r="47">
      <c r="A47" s="1"/>
      <c r="B47" s="1"/>
      <c r="C47" s="1"/>
      <c r="D47" s="1"/>
      <c r="E47" s="2"/>
      <c r="F47" s="1"/>
      <c r="G47" s="1"/>
      <c r="H47" s="1"/>
      <c r="I47" s="1"/>
      <c r="J47" s="1"/>
    </row>
    <row r="48">
      <c r="A48" s="1"/>
      <c r="B48" s="1"/>
      <c r="C48" s="1"/>
      <c r="D48" s="1"/>
      <c r="E48" s="2"/>
      <c r="F48" s="1"/>
      <c r="G48" s="1"/>
      <c r="H48" s="1"/>
      <c r="I48" s="1"/>
      <c r="J48" s="1"/>
    </row>
    <row r="49">
      <c r="A49" s="1"/>
      <c r="B49" s="1"/>
      <c r="C49" s="1"/>
      <c r="D49" s="1"/>
      <c r="E49" s="2"/>
      <c r="F49" s="1"/>
      <c r="G49" s="1"/>
      <c r="H49" s="1"/>
      <c r="I49" s="1"/>
      <c r="J49" s="1"/>
    </row>
    <row r="50">
      <c r="A50" s="1"/>
      <c r="B50" s="1"/>
      <c r="C50" s="1"/>
      <c r="D50" s="1"/>
      <c r="E50" s="2"/>
      <c r="F50" s="1"/>
      <c r="G50" s="1"/>
      <c r="H50" s="1"/>
      <c r="I50" s="1"/>
      <c r="J50" s="1"/>
    </row>
    <row r="51">
      <c r="A51" s="1"/>
      <c r="B51" s="1"/>
      <c r="C51" s="3"/>
      <c r="D51" s="1"/>
      <c r="E51" s="2"/>
      <c r="F51" s="1"/>
      <c r="G51" s="1"/>
      <c r="H51" s="1"/>
      <c r="I51" s="1"/>
      <c r="J51" s="1"/>
    </row>
    <row r="52">
      <c r="A52" s="1"/>
      <c r="B52" s="1"/>
      <c r="C52" s="3"/>
      <c r="D52" s="1"/>
      <c r="E52" s="2"/>
      <c r="F52" s="1"/>
      <c r="G52" s="1"/>
      <c r="H52" s="1"/>
      <c r="I52" s="1"/>
      <c r="J52" s="1"/>
    </row>
    <row r="53">
      <c r="A53" s="1"/>
      <c r="B53" s="1"/>
      <c r="C53" s="3"/>
      <c r="D53" s="1"/>
      <c r="E53" s="2"/>
      <c r="F53" s="1"/>
      <c r="G53" s="1"/>
      <c r="H53" s="1"/>
      <c r="I53" s="1"/>
      <c r="J53" s="1"/>
    </row>
    <row r="54">
      <c r="A54" s="1"/>
      <c r="B54" s="1"/>
      <c r="C54" s="1"/>
      <c r="D54" s="1"/>
      <c r="E54" s="2"/>
      <c r="F54" s="1"/>
      <c r="G54" s="1"/>
      <c r="H54" s="1"/>
      <c r="I54" s="1"/>
      <c r="J54" s="1"/>
    </row>
    <row r="55">
      <c r="A55" s="1"/>
      <c r="B55" s="1"/>
      <c r="C55" s="1"/>
      <c r="D55" s="1"/>
      <c r="E55" s="2"/>
      <c r="F55" s="1"/>
      <c r="G55" s="1"/>
      <c r="H55" s="1"/>
      <c r="I55" s="1"/>
      <c r="J55" s="1"/>
    </row>
    <row r="56">
      <c r="A56" s="1"/>
      <c r="B56" s="1"/>
      <c r="C56" s="1"/>
      <c r="D56" s="1"/>
      <c r="E56" s="2"/>
      <c r="F56" s="1"/>
      <c r="G56" s="1"/>
      <c r="H56" s="1"/>
      <c r="I56" s="1"/>
      <c r="J56" s="1"/>
    </row>
    <row r="57">
      <c r="A57" s="1"/>
      <c r="B57" s="1"/>
      <c r="C57" s="3"/>
      <c r="D57" s="1"/>
      <c r="E57" s="2"/>
      <c r="F57" s="1"/>
      <c r="G57" s="1"/>
      <c r="H57" s="1"/>
      <c r="I57" s="1"/>
      <c r="J57" s="1"/>
    </row>
    <row r="58">
      <c r="A58" s="1"/>
      <c r="B58" s="1"/>
      <c r="C58" s="3"/>
      <c r="D58" s="1"/>
      <c r="E58" s="2"/>
      <c r="F58" s="1"/>
      <c r="G58" s="1"/>
      <c r="H58" s="1"/>
      <c r="I58" s="1"/>
      <c r="J58" s="1"/>
    </row>
    <row r="59">
      <c r="A59" s="1"/>
      <c r="B59" s="1"/>
      <c r="C59" s="3"/>
      <c r="D59" s="1"/>
      <c r="E59" s="2"/>
      <c r="F59" s="1"/>
      <c r="G59" s="1"/>
      <c r="H59" s="1"/>
      <c r="I59" s="1"/>
      <c r="J59" s="1"/>
    </row>
    <row r="60">
      <c r="A60" s="1"/>
      <c r="B60" s="1"/>
      <c r="C60" s="3"/>
      <c r="D60" s="1"/>
      <c r="E60" s="2"/>
      <c r="F60" s="1"/>
      <c r="G60" s="1"/>
      <c r="H60" s="1"/>
      <c r="I60" s="1"/>
      <c r="J60" s="1"/>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row r="1001">
      <c r="E1001" s="6"/>
    </row>
    <row r="1002">
      <c r="E1002" s="6"/>
    </row>
    <row r="1003">
      <c r="E1003" s="6"/>
    </row>
    <row r="1004">
      <c r="E1004" s="6"/>
    </row>
    <row r="1005">
      <c r="E1005" s="6"/>
    </row>
    <row r="1006">
      <c r="E1006" s="6"/>
    </row>
    <row r="1007">
      <c r="E1007" s="6"/>
    </row>
    <row r="1008">
      <c r="E1008" s="6"/>
    </row>
    <row r="1009">
      <c r="E1009" s="6"/>
    </row>
    <row r="1010">
      <c r="E1010" s="6"/>
    </row>
    <row r="1011">
      <c r="E1011" s="6"/>
    </row>
    <row r="1012">
      <c r="E1012" s="6"/>
    </row>
    <row r="1013">
      <c r="E1013" s="6"/>
    </row>
    <row r="1014">
      <c r="E1014" s="6"/>
    </row>
    <row r="1015">
      <c r="E1015" s="6"/>
    </row>
    <row r="1016">
      <c r="E1016" s="6"/>
    </row>
    <row r="1017">
      <c r="E1017" s="6"/>
    </row>
    <row r="1018">
      <c r="E1018" s="6"/>
    </row>
    <row r="1019">
      <c r="E1019" s="6"/>
    </row>
    <row r="1020">
      <c r="E1020" s="6"/>
    </row>
    <row r="1021">
      <c r="E1021" s="6"/>
    </row>
    <row r="1022">
      <c r="E1022" s="6"/>
    </row>
    <row r="1023">
      <c r="E1023" s="6"/>
    </row>
    <row r="1024">
      <c r="E1024" s="6"/>
    </row>
    <row r="1025">
      <c r="E1025" s="6"/>
    </row>
    <row r="1026">
      <c r="E1026" s="6"/>
    </row>
    <row r="1027">
      <c r="E1027" s="6"/>
    </row>
    <row r="1028">
      <c r="E1028" s="6"/>
    </row>
    <row r="1029">
      <c r="E1029" s="6"/>
    </row>
    <row r="1030">
      <c r="E1030" s="6"/>
    </row>
    <row r="1031">
      <c r="E1031" s="6"/>
    </row>
    <row r="1032">
      <c r="E1032" s="6"/>
    </row>
    <row r="1033">
      <c r="E1033" s="6"/>
    </row>
    <row r="1034">
      <c r="E1034" s="6"/>
    </row>
    <row r="1035">
      <c r="E1035" s="6"/>
    </row>
    <row r="1036">
      <c r="E1036" s="6"/>
    </row>
    <row r="1037">
      <c r="E1037" s="6"/>
    </row>
    <row r="1038">
      <c r="E1038" s="6"/>
    </row>
    <row r="1039">
      <c r="E1039" s="6"/>
    </row>
    <row r="1040">
      <c r="E1040" s="6"/>
    </row>
    <row r="1041">
      <c r="E1041" s="6"/>
    </row>
    <row r="1042">
      <c r="E1042" s="6"/>
    </row>
    <row r="1043">
      <c r="E1043" s="6"/>
    </row>
    <row r="1044">
      <c r="E1044" s="6"/>
    </row>
    <row r="1045">
      <c r="E1045" s="6"/>
    </row>
    <row r="1046">
      <c r="E1046" s="6"/>
    </row>
    <row r="1047">
      <c r="E1047" s="6"/>
    </row>
    <row r="1048">
      <c r="E1048" s="6"/>
    </row>
    <row r="1049">
      <c r="E1049" s="6"/>
    </row>
    <row r="1050">
      <c r="E1050" s="6"/>
    </row>
    <row r="1051">
      <c r="E1051" s="6"/>
    </row>
    <row r="1052">
      <c r="E1052" s="6"/>
    </row>
    <row r="1053">
      <c r="E1053" s="6"/>
    </row>
    <row r="1054">
      <c r="E1054" s="6"/>
    </row>
    <row r="1055">
      <c r="E1055" s="6"/>
    </row>
    <row r="1056">
      <c r="E1056" s="6"/>
    </row>
    <row r="1057">
      <c r="E1057" s="6"/>
    </row>
    <row r="1058">
      <c r="E1058" s="6"/>
    </row>
    <row r="1059">
      <c r="E1059" s="6"/>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25"/>
    <col customWidth="1" min="3" max="3" width="24.25"/>
    <col customWidth="1" min="7" max="7" width="15.88"/>
    <col customWidth="1" min="9" max="9" width="25.0"/>
    <col customWidth="1" min="10" max="10" width="20.0"/>
  </cols>
  <sheetData>
    <row r="1">
      <c r="A1" s="1" t="s">
        <v>0</v>
      </c>
      <c r="B1" s="1" t="s">
        <v>1</v>
      </c>
      <c r="C1" s="1" t="s">
        <v>99</v>
      </c>
      <c r="D1" s="1" t="s">
        <v>100</v>
      </c>
      <c r="E1" s="1" t="s">
        <v>101</v>
      </c>
      <c r="F1" s="1" t="s">
        <v>102</v>
      </c>
      <c r="G1" s="2" t="s">
        <v>103</v>
      </c>
      <c r="H1" s="1" t="s">
        <v>104</v>
      </c>
      <c r="I1" s="1" t="s">
        <v>8</v>
      </c>
      <c r="J1" s="7" t="s">
        <v>105</v>
      </c>
    </row>
    <row r="2">
      <c r="A2" s="1" t="s">
        <v>106</v>
      </c>
      <c r="B2" s="1" t="s">
        <v>107</v>
      </c>
      <c r="C2" s="4" t="str">
        <f>HYPERLINK("https://meetingtrackerautomated.atlassian.net/rest/api/3/issue/10291","SCRUM-121")</f>
        <v>SCRUM-121</v>
      </c>
      <c r="D2" s="1" t="s">
        <v>108</v>
      </c>
      <c r="E2" s="1" t="s">
        <v>109</v>
      </c>
      <c r="F2" s="1" t="s">
        <v>110</v>
      </c>
      <c r="G2" s="2" t="s">
        <v>111</v>
      </c>
      <c r="H2" s="1" t="s">
        <v>112</v>
      </c>
      <c r="I2" s="1" t="s">
        <v>113</v>
      </c>
      <c r="J2" s="7" t="s">
        <v>114</v>
      </c>
    </row>
    <row r="3">
      <c r="A3" s="1" t="s">
        <v>106</v>
      </c>
      <c r="B3" s="1" t="s">
        <v>107</v>
      </c>
      <c r="C3" s="4" t="str">
        <f>HYPERLINK("https://meetingtrackerautomated.atlassian.net/rest/api/3/issue/10292","SCRUM-122")</f>
        <v>SCRUM-122</v>
      </c>
      <c r="D3" s="1" t="s">
        <v>108</v>
      </c>
      <c r="E3" s="1" t="s">
        <v>109</v>
      </c>
      <c r="F3" s="1" t="s">
        <v>110</v>
      </c>
      <c r="G3" s="2" t="s">
        <v>111</v>
      </c>
      <c r="H3" s="1" t="s">
        <v>112</v>
      </c>
      <c r="I3" s="1" t="s">
        <v>113</v>
      </c>
      <c r="J3" s="7" t="s">
        <v>114</v>
      </c>
    </row>
    <row r="4">
      <c r="A4" s="1" t="s">
        <v>106</v>
      </c>
      <c r="B4" s="1" t="s">
        <v>107</v>
      </c>
      <c r="C4" s="4" t="str">
        <f>HYPERLINK("https://meetingtrackerautomated.atlassian.net/rest/api/3/issue/10293","SCRUM-123")</f>
        <v>SCRUM-123</v>
      </c>
      <c r="D4" s="1" t="s">
        <v>115</v>
      </c>
      <c r="E4" s="1" t="s">
        <v>109</v>
      </c>
      <c r="F4" s="1" t="s">
        <v>116</v>
      </c>
      <c r="G4" s="2" t="s">
        <v>117</v>
      </c>
      <c r="H4" s="1" t="s">
        <v>118</v>
      </c>
      <c r="I4" s="1" t="s">
        <v>119</v>
      </c>
      <c r="J4" s="7" t="s">
        <v>120</v>
      </c>
    </row>
    <row r="5">
      <c r="A5" s="1" t="s">
        <v>106</v>
      </c>
      <c r="B5" s="1" t="s">
        <v>107</v>
      </c>
      <c r="C5" s="4" t="str">
        <f>HYPERLINK("https://meetingtrackerautomated.atlassian.net/rest/api/3/issue/10294","SCRUM-124")</f>
        <v>SCRUM-124</v>
      </c>
      <c r="D5" s="1" t="s">
        <v>121</v>
      </c>
      <c r="E5" s="1" t="s">
        <v>109</v>
      </c>
      <c r="F5" s="1" t="s">
        <v>122</v>
      </c>
      <c r="G5" s="2" t="s">
        <v>123</v>
      </c>
      <c r="H5" s="1" t="s">
        <v>124</v>
      </c>
      <c r="I5" s="1" t="s">
        <v>125</v>
      </c>
      <c r="J5" s="7" t="s">
        <v>126</v>
      </c>
    </row>
    <row r="6">
      <c r="A6" s="1" t="s">
        <v>127</v>
      </c>
      <c r="B6" s="1" t="s">
        <v>23</v>
      </c>
      <c r="C6" s="4" t="str">
        <f>HYPERLINK("https://meetingtrackerautomated.atlassian.net/rest/api/3/issue/10295","SCRUM-125")</f>
        <v>SCRUM-125</v>
      </c>
      <c r="D6" s="1"/>
      <c r="E6" s="1"/>
      <c r="F6" s="1" t="s">
        <v>128</v>
      </c>
      <c r="G6" s="2" t="s">
        <v>111</v>
      </c>
      <c r="H6" s="1" t="s">
        <v>112</v>
      </c>
      <c r="I6" s="1" t="s">
        <v>129</v>
      </c>
      <c r="J6" s="7" t="s">
        <v>130</v>
      </c>
    </row>
    <row r="7">
      <c r="A7" s="1" t="s">
        <v>127</v>
      </c>
      <c r="B7" s="1" t="s">
        <v>23</v>
      </c>
      <c r="C7" s="4" t="str">
        <f>HYPERLINK("https://meetingtrackerautomated.atlassian.net/rest/api/3/issue/10296","SCRUM-126")</f>
        <v>SCRUM-126</v>
      </c>
      <c r="D7" s="1"/>
      <c r="E7" s="1"/>
      <c r="F7" s="1" t="s">
        <v>131</v>
      </c>
      <c r="G7" s="2" t="s">
        <v>117</v>
      </c>
      <c r="H7" s="1" t="s">
        <v>118</v>
      </c>
      <c r="I7" s="1" t="s">
        <v>129</v>
      </c>
      <c r="J7" s="7" t="s">
        <v>132</v>
      </c>
    </row>
    <row r="8">
      <c r="A8" s="1" t="s">
        <v>10</v>
      </c>
      <c r="B8" s="1" t="s">
        <v>11</v>
      </c>
      <c r="C8" s="4" t="str">
        <f>HYPERLINK("https://meetingtrackerautomated.atlassian.net/rest/api/3/issue/10329","SCRUM-127")</f>
        <v>SCRUM-127</v>
      </c>
      <c r="D8" s="1" t="s">
        <v>108</v>
      </c>
      <c r="E8" s="1" t="s">
        <v>133</v>
      </c>
      <c r="F8" s="1" t="s">
        <v>134</v>
      </c>
      <c r="G8" s="2" t="s">
        <v>135</v>
      </c>
      <c r="H8" s="1" t="s">
        <v>136</v>
      </c>
      <c r="I8" s="1" t="s">
        <v>113</v>
      </c>
      <c r="J8" s="7" t="s">
        <v>137</v>
      </c>
    </row>
    <row r="9">
      <c r="A9" s="1" t="s">
        <v>10</v>
      </c>
      <c r="B9" s="1" t="s">
        <v>11</v>
      </c>
      <c r="C9" s="4" t="str">
        <f>HYPERLINK("https://meetingtrackerautomated.atlassian.net/rest/api/3/issue/10330","SCRUM-128")</f>
        <v>SCRUM-128</v>
      </c>
      <c r="D9" s="1" t="s">
        <v>108</v>
      </c>
      <c r="E9" s="1" t="s">
        <v>133</v>
      </c>
      <c r="F9" s="1" t="s">
        <v>138</v>
      </c>
      <c r="G9" s="2" t="s">
        <v>139</v>
      </c>
      <c r="H9" s="1" t="s">
        <v>118</v>
      </c>
      <c r="I9" s="1" t="s">
        <v>113</v>
      </c>
      <c r="J9" s="7" t="s">
        <v>140</v>
      </c>
    </row>
    <row r="10">
      <c r="A10" s="1" t="s">
        <v>16</v>
      </c>
      <c r="B10" s="1" t="s">
        <v>17</v>
      </c>
      <c r="C10" s="4" t="str">
        <f>HYPERLINK("https://meetingtrackerautomated.atlassian.net/rest/api/3/issue/10363","SCRUM-129")</f>
        <v>SCRUM-129</v>
      </c>
      <c r="D10" s="1" t="s">
        <v>108</v>
      </c>
      <c r="E10" s="1" t="s">
        <v>133</v>
      </c>
      <c r="F10" s="1" t="s">
        <v>128</v>
      </c>
      <c r="G10" s="2" t="s">
        <v>141</v>
      </c>
      <c r="H10" s="1" t="s">
        <v>112</v>
      </c>
      <c r="I10" s="1" t="s">
        <v>113</v>
      </c>
      <c r="J10" s="7" t="s">
        <v>142</v>
      </c>
    </row>
    <row r="11">
      <c r="A11" s="1" t="s">
        <v>16</v>
      </c>
      <c r="B11" s="1" t="s">
        <v>17</v>
      </c>
      <c r="C11" s="4" t="str">
        <f>HYPERLINK("https://meetingtrackerautomated.atlassian.net/rest/api/3/issue/10365","SCRUM-131")</f>
        <v>SCRUM-131</v>
      </c>
      <c r="D11" s="1" t="s">
        <v>108</v>
      </c>
      <c r="E11" s="1" t="s">
        <v>133</v>
      </c>
      <c r="F11" s="1" t="s">
        <v>128</v>
      </c>
      <c r="G11" s="2" t="s">
        <v>141</v>
      </c>
      <c r="H11" s="1" t="s">
        <v>112</v>
      </c>
      <c r="I11" s="1" t="s">
        <v>113</v>
      </c>
      <c r="J11" s="7" t="s">
        <v>142</v>
      </c>
    </row>
    <row r="12">
      <c r="A12" s="1" t="s">
        <v>16</v>
      </c>
      <c r="B12" s="1" t="s">
        <v>17</v>
      </c>
      <c r="C12" s="4" t="str">
        <f>HYPERLINK("https://meetingtrackerautomated.atlassian.net/rest/api/3/issue/10366","SCRUM-132")</f>
        <v>SCRUM-132</v>
      </c>
      <c r="D12" s="1" t="s">
        <v>115</v>
      </c>
      <c r="E12" s="1" t="s">
        <v>133</v>
      </c>
      <c r="F12" s="1" t="s">
        <v>143</v>
      </c>
      <c r="G12" s="2" t="s">
        <v>144</v>
      </c>
      <c r="H12" s="1" t="s">
        <v>145</v>
      </c>
      <c r="I12" s="1" t="s">
        <v>119</v>
      </c>
      <c r="J12" s="7" t="s">
        <v>146</v>
      </c>
    </row>
    <row r="13">
      <c r="A13" s="1" t="s">
        <v>16</v>
      </c>
      <c r="B13" s="1" t="s">
        <v>17</v>
      </c>
      <c r="C13" s="4" t="str">
        <f>HYPERLINK("https://meetingtrackerautomated.atlassian.net/rest/api/3/issue/10367","SCRUM-133")</f>
        <v>SCRUM-133</v>
      </c>
      <c r="D13" s="1" t="s">
        <v>108</v>
      </c>
      <c r="E13" s="1" t="s">
        <v>147</v>
      </c>
      <c r="F13" s="1" t="s">
        <v>134</v>
      </c>
      <c r="G13" s="2" t="s">
        <v>148</v>
      </c>
      <c r="H13" s="1" t="s">
        <v>149</v>
      </c>
      <c r="I13" s="1" t="s">
        <v>113</v>
      </c>
      <c r="J13" s="7" t="s">
        <v>150</v>
      </c>
    </row>
    <row r="14">
      <c r="A14" s="1" t="s">
        <v>16</v>
      </c>
      <c r="B14" s="1" t="s">
        <v>17</v>
      </c>
      <c r="C14" s="4" t="str">
        <f>HYPERLINK("https://meetingtrackerautomated.atlassian.net/rest/api/3/issue/10368","SCRUM-134")</f>
        <v>SCRUM-134</v>
      </c>
      <c r="D14" s="1" t="s">
        <v>108</v>
      </c>
      <c r="E14" s="1" t="s">
        <v>147</v>
      </c>
      <c r="F14" s="1" t="s">
        <v>131</v>
      </c>
      <c r="G14" s="2" t="s">
        <v>151</v>
      </c>
      <c r="H14" s="1" t="s">
        <v>118</v>
      </c>
      <c r="I14" s="1" t="s">
        <v>113</v>
      </c>
      <c r="J14" s="7" t="s">
        <v>152</v>
      </c>
    </row>
    <row r="15">
      <c r="A15" s="1" t="s">
        <v>16</v>
      </c>
      <c r="B15" s="1" t="s">
        <v>17</v>
      </c>
      <c r="C15" s="4" t="str">
        <f>HYPERLINK("https://meetingtrackerautomated.atlassian.net/rest/api/3/issue/10369","SCRUM-135")</f>
        <v>SCRUM-135</v>
      </c>
      <c r="D15" s="1" t="s">
        <v>108</v>
      </c>
      <c r="E15" s="1" t="s">
        <v>109</v>
      </c>
      <c r="F15" s="1" t="s">
        <v>153</v>
      </c>
      <c r="G15" s="2" t="s">
        <v>154</v>
      </c>
      <c r="H15" s="1" t="s">
        <v>155</v>
      </c>
      <c r="I15" s="1" t="s">
        <v>113</v>
      </c>
      <c r="J15" s="7" t="s">
        <v>156</v>
      </c>
    </row>
    <row r="16">
      <c r="A16" s="1" t="s">
        <v>22</v>
      </c>
      <c r="B16" s="1" t="s">
        <v>23</v>
      </c>
      <c r="C16" s="4" t="str">
        <f>HYPERLINK("https://meetingtrackerautomated.atlassian.net/rest/api/3/issue/10370","SCRUM-136")</f>
        <v>SCRUM-136</v>
      </c>
      <c r="D16" s="1" t="s">
        <v>108</v>
      </c>
      <c r="E16" s="1" t="s">
        <v>133</v>
      </c>
      <c r="F16" s="1" t="s">
        <v>128</v>
      </c>
      <c r="G16" s="2" t="s">
        <v>157</v>
      </c>
      <c r="H16" s="1" t="s">
        <v>112</v>
      </c>
      <c r="I16" s="1" t="s">
        <v>113</v>
      </c>
      <c r="J16" s="7" t="s">
        <v>158</v>
      </c>
    </row>
    <row r="17">
      <c r="A17" s="1" t="s">
        <v>22</v>
      </c>
      <c r="B17" s="1" t="s">
        <v>23</v>
      </c>
      <c r="C17" s="4" t="str">
        <f>HYPERLINK("https://meetingtrackerautomated.atlassian.net/rest/api/3/issue/10371","SCRUM-137")</f>
        <v>SCRUM-137</v>
      </c>
      <c r="D17" s="1" t="s">
        <v>108</v>
      </c>
      <c r="E17" s="1" t="s">
        <v>109</v>
      </c>
      <c r="F17" s="1" t="s">
        <v>131</v>
      </c>
      <c r="G17" s="2" t="s">
        <v>159</v>
      </c>
      <c r="H17" s="1" t="s">
        <v>160</v>
      </c>
      <c r="I17" s="1" t="s">
        <v>113</v>
      </c>
      <c r="J17" s="7" t="s">
        <v>161</v>
      </c>
    </row>
    <row r="18">
      <c r="A18" s="1" t="s">
        <v>22</v>
      </c>
      <c r="B18" s="1" t="s">
        <v>23</v>
      </c>
      <c r="C18" s="4" t="str">
        <f>HYPERLINK("https://meetingtrackerautomated.atlassian.net/rest/api/3/issue/10372","SCRUM-138")</f>
        <v>SCRUM-138</v>
      </c>
      <c r="D18" s="1" t="s">
        <v>108</v>
      </c>
      <c r="E18" s="1" t="s">
        <v>109</v>
      </c>
      <c r="F18" s="1" t="s">
        <v>153</v>
      </c>
      <c r="G18" s="2" t="s">
        <v>162</v>
      </c>
      <c r="H18" s="1" t="s">
        <v>118</v>
      </c>
      <c r="I18" s="1" t="s">
        <v>113</v>
      </c>
      <c r="J18" s="7" t="s">
        <v>163</v>
      </c>
    </row>
    <row r="19">
      <c r="A19" s="1" t="s">
        <v>26</v>
      </c>
      <c r="B19" s="1" t="s">
        <v>27</v>
      </c>
      <c r="C19" s="4" t="str">
        <f>HYPERLINK("https://meetingtrackerautomated.atlassian.net/rest/api/3/issue/10373","SCRUM-139")</f>
        <v>SCRUM-139</v>
      </c>
      <c r="D19" s="1" t="s">
        <v>115</v>
      </c>
      <c r="E19" s="1" t="s">
        <v>133</v>
      </c>
      <c r="F19" s="1" t="s">
        <v>143</v>
      </c>
      <c r="G19" s="2" t="s">
        <v>164</v>
      </c>
      <c r="H19" s="1" t="s">
        <v>145</v>
      </c>
      <c r="I19" s="1" t="s">
        <v>119</v>
      </c>
      <c r="J19" s="7" t="s">
        <v>165</v>
      </c>
    </row>
    <row r="20">
      <c r="A20" s="1" t="s">
        <v>26</v>
      </c>
      <c r="B20" s="1" t="s">
        <v>27</v>
      </c>
      <c r="C20" s="4" t="str">
        <f>HYPERLINK("https://meetingtrackerautomated.atlassian.net/rest/api/3/issue/10374","SCRUM-140")</f>
        <v>SCRUM-140</v>
      </c>
      <c r="D20" s="1" t="s">
        <v>108</v>
      </c>
      <c r="E20" s="1" t="s">
        <v>133</v>
      </c>
      <c r="F20" s="1" t="s">
        <v>138</v>
      </c>
      <c r="G20" s="2" t="s">
        <v>166</v>
      </c>
      <c r="H20" s="1" t="s">
        <v>149</v>
      </c>
      <c r="I20" s="1" t="s">
        <v>113</v>
      </c>
      <c r="J20" s="7" t="s">
        <v>167</v>
      </c>
    </row>
    <row r="21">
      <c r="A21" s="1" t="s">
        <v>34</v>
      </c>
      <c r="B21" s="1" t="s">
        <v>35</v>
      </c>
      <c r="C21" s="4" t="str">
        <f>HYPERLINK("https://meetingtrackerautomated.atlassian.net/rest/api/3/issue/10377","SCRUM-143")</f>
        <v>SCRUM-143</v>
      </c>
      <c r="D21" s="1" t="s">
        <v>108</v>
      </c>
      <c r="E21" s="1" t="s">
        <v>133</v>
      </c>
      <c r="F21" s="1" t="s">
        <v>143</v>
      </c>
      <c r="G21" s="2" t="s">
        <v>168</v>
      </c>
      <c r="H21" s="1" t="s">
        <v>145</v>
      </c>
      <c r="I21" s="1" t="s">
        <v>113</v>
      </c>
      <c r="J21" s="7" t="s">
        <v>169</v>
      </c>
    </row>
    <row r="22">
      <c r="A22" s="1" t="s">
        <v>34</v>
      </c>
      <c r="B22" s="1" t="s">
        <v>35</v>
      </c>
      <c r="C22" s="4" t="str">
        <f>HYPERLINK("https://meetingtrackerautomated.atlassian.net/rest/api/3/issue/10378","SCRUM-144")</f>
        <v>SCRUM-144</v>
      </c>
      <c r="D22" s="1" t="s">
        <v>108</v>
      </c>
      <c r="E22" s="1" t="s">
        <v>133</v>
      </c>
      <c r="F22" s="1" t="s">
        <v>128</v>
      </c>
      <c r="G22" s="2" t="s">
        <v>170</v>
      </c>
      <c r="H22" s="1" t="s">
        <v>145</v>
      </c>
      <c r="I22" s="1" t="s">
        <v>113</v>
      </c>
      <c r="J22" s="7" t="s">
        <v>171</v>
      </c>
    </row>
    <row r="23">
      <c r="A23" s="1" t="s">
        <v>42</v>
      </c>
      <c r="B23" s="1" t="s">
        <v>43</v>
      </c>
      <c r="C23" s="4" t="str">
        <f>HYPERLINK("https://meetingtrackerautomated.atlassian.net/rest/api/3/issue/10379","SCRUM-145")</f>
        <v>SCRUM-145</v>
      </c>
      <c r="D23" s="1" t="s">
        <v>108</v>
      </c>
      <c r="E23" s="1" t="s">
        <v>109</v>
      </c>
      <c r="F23" s="1" t="s">
        <v>134</v>
      </c>
      <c r="G23" s="2" t="s">
        <v>172</v>
      </c>
      <c r="H23" s="1" t="s">
        <v>118</v>
      </c>
      <c r="I23" s="1" t="s">
        <v>113</v>
      </c>
      <c r="J23" s="7" t="s">
        <v>173</v>
      </c>
    </row>
    <row r="24">
      <c r="A24" s="1" t="s">
        <v>42</v>
      </c>
      <c r="B24" s="1" t="s">
        <v>43</v>
      </c>
      <c r="C24" s="4" t="str">
        <f>HYPERLINK("https://meetingtrackerautomated.atlassian.net/rest/api/3/issue/10380","SCRUM-146")</f>
        <v>SCRUM-146</v>
      </c>
      <c r="D24" s="1" t="s">
        <v>108</v>
      </c>
      <c r="E24" s="1" t="s">
        <v>109</v>
      </c>
      <c r="F24" s="1" t="s">
        <v>128</v>
      </c>
      <c r="G24" s="2" t="s">
        <v>174</v>
      </c>
      <c r="H24" s="1" t="s">
        <v>149</v>
      </c>
      <c r="I24" s="1" t="s">
        <v>113</v>
      </c>
      <c r="J24" s="7" t="s">
        <v>175</v>
      </c>
    </row>
    <row r="25">
      <c r="A25" s="1" t="s">
        <v>46</v>
      </c>
      <c r="B25" s="1" t="s">
        <v>47</v>
      </c>
      <c r="C25" s="4" t="str">
        <f>HYPERLINK("https://meetingtrackerautomated.atlassian.net/rest/api/3/issue/10381","SCRUM-147")</f>
        <v>SCRUM-147</v>
      </c>
      <c r="D25" s="1" t="s">
        <v>108</v>
      </c>
      <c r="E25" s="1" t="s">
        <v>109</v>
      </c>
      <c r="F25" s="1" t="s">
        <v>131</v>
      </c>
      <c r="G25" s="2" t="s">
        <v>176</v>
      </c>
      <c r="H25" s="1" t="s">
        <v>118</v>
      </c>
      <c r="I25" s="1" t="s">
        <v>113</v>
      </c>
      <c r="J25" s="7" t="s">
        <v>177</v>
      </c>
    </row>
    <row r="26">
      <c r="A26" s="1" t="s">
        <v>46</v>
      </c>
      <c r="B26" s="1" t="s">
        <v>47</v>
      </c>
      <c r="C26" s="4" t="str">
        <f>HYPERLINK("https://meetingtrackerautomated.atlassian.net/rest/api/3/issue/10382","SCRUM-148")</f>
        <v>SCRUM-148</v>
      </c>
      <c r="D26" s="1" t="s">
        <v>108</v>
      </c>
      <c r="E26" s="1" t="s">
        <v>109</v>
      </c>
      <c r="F26" s="1" t="s">
        <v>131</v>
      </c>
      <c r="G26" s="2" t="s">
        <v>176</v>
      </c>
      <c r="H26" s="1" t="s">
        <v>118</v>
      </c>
      <c r="I26" s="1" t="s">
        <v>113</v>
      </c>
      <c r="J26" s="7" t="s">
        <v>177</v>
      </c>
    </row>
    <row r="27">
      <c r="A27" s="1" t="s">
        <v>46</v>
      </c>
      <c r="B27" s="1" t="s">
        <v>47</v>
      </c>
      <c r="C27" s="4" t="str">
        <f>HYPERLINK("https://meetingtrackerautomated.atlassian.net/rest/api/3/issue/10383","SCRUM-149")</f>
        <v>SCRUM-149</v>
      </c>
      <c r="D27" s="1" t="s">
        <v>108</v>
      </c>
      <c r="E27" s="1" t="s">
        <v>109</v>
      </c>
      <c r="F27" s="1" t="s">
        <v>131</v>
      </c>
      <c r="G27" s="2" t="s">
        <v>176</v>
      </c>
      <c r="H27" s="1" t="s">
        <v>118</v>
      </c>
      <c r="I27" s="1" t="s">
        <v>113</v>
      </c>
      <c r="J27" s="7" t="s">
        <v>177</v>
      </c>
    </row>
    <row r="28">
      <c r="A28" s="1" t="s">
        <v>46</v>
      </c>
      <c r="B28" s="1" t="s">
        <v>47</v>
      </c>
      <c r="C28" s="4" t="str">
        <f>HYPERLINK("https://meetingtrackerautomated.atlassian.net/rest/api/3/issue/10384","SCRUM-150")</f>
        <v>SCRUM-150</v>
      </c>
      <c r="D28" s="1" t="s">
        <v>108</v>
      </c>
      <c r="E28" s="1" t="s">
        <v>109</v>
      </c>
      <c r="F28" s="1" t="s">
        <v>178</v>
      </c>
      <c r="G28" s="2" t="s">
        <v>179</v>
      </c>
      <c r="H28" s="1" t="s">
        <v>180</v>
      </c>
      <c r="I28" s="1" t="s">
        <v>113</v>
      </c>
      <c r="J28" s="7" t="s">
        <v>181</v>
      </c>
    </row>
    <row r="29">
      <c r="A29" s="1" t="s">
        <v>54</v>
      </c>
      <c r="B29" s="1" t="s">
        <v>55</v>
      </c>
      <c r="C29" s="4" t="str">
        <f>HYPERLINK("https://meetingtrackerautomated.atlassian.net/rest/api/3/issue/10417","SCRUM-151")</f>
        <v>SCRUM-151</v>
      </c>
      <c r="D29" s="1" t="s">
        <v>108</v>
      </c>
      <c r="E29" s="1" t="s">
        <v>133</v>
      </c>
      <c r="F29" s="1" t="s">
        <v>128</v>
      </c>
      <c r="G29" s="2" t="s">
        <v>182</v>
      </c>
      <c r="H29" s="1" t="s">
        <v>112</v>
      </c>
      <c r="I29" s="1" t="s">
        <v>113</v>
      </c>
      <c r="J29" s="7" t="s">
        <v>183</v>
      </c>
    </row>
    <row r="30">
      <c r="A30" s="1" t="s">
        <v>54</v>
      </c>
      <c r="B30" s="1" t="s">
        <v>55</v>
      </c>
      <c r="C30" s="4" t="str">
        <f>HYPERLINK("https://meetingtrackerautomated.atlassian.net/rest/api/3/issue/10418","SCRUM-152")</f>
        <v>SCRUM-152</v>
      </c>
      <c r="D30" s="1" t="s">
        <v>108</v>
      </c>
      <c r="E30" s="1" t="s">
        <v>109</v>
      </c>
      <c r="F30" s="1" t="s">
        <v>131</v>
      </c>
      <c r="G30" s="2" t="s">
        <v>184</v>
      </c>
      <c r="H30" s="1"/>
      <c r="I30" s="1" t="s">
        <v>113</v>
      </c>
      <c r="J30" s="7" t="s">
        <v>185</v>
      </c>
    </row>
    <row r="31">
      <c r="A31" s="1" t="s">
        <v>54</v>
      </c>
      <c r="B31" s="1" t="s">
        <v>55</v>
      </c>
      <c r="C31" s="4" t="str">
        <f>HYPERLINK("https://meetingtrackerautomated.atlassian.net/rest/api/3/issue/10419","SCRUM-153")</f>
        <v>SCRUM-153</v>
      </c>
      <c r="D31" s="1" t="s">
        <v>108</v>
      </c>
      <c r="E31" s="1" t="s">
        <v>109</v>
      </c>
      <c r="F31" s="1" t="s">
        <v>143</v>
      </c>
      <c r="G31" s="2" t="s">
        <v>186</v>
      </c>
      <c r="H31" s="1" t="s">
        <v>187</v>
      </c>
      <c r="I31" s="1" t="s">
        <v>113</v>
      </c>
      <c r="J31" s="7" t="s">
        <v>188</v>
      </c>
    </row>
    <row r="32">
      <c r="A32" s="1" t="s">
        <v>54</v>
      </c>
      <c r="B32" s="1" t="s">
        <v>55</v>
      </c>
      <c r="C32" s="4" t="str">
        <f>HYPERLINK("https://meetingtrackerautomated.atlassian.net/rest/api/3/issue/10420","SCRUM-154")</f>
        <v>SCRUM-154</v>
      </c>
      <c r="D32" s="1" t="s">
        <v>108</v>
      </c>
      <c r="E32" s="1" t="s">
        <v>133</v>
      </c>
      <c r="F32" s="1" t="s">
        <v>153</v>
      </c>
      <c r="G32" s="2" t="s">
        <v>189</v>
      </c>
      <c r="H32" s="1"/>
      <c r="I32" s="1" t="s">
        <v>113</v>
      </c>
      <c r="J32" s="7" t="s">
        <v>190</v>
      </c>
    </row>
    <row r="33">
      <c r="A33" s="1" t="s">
        <v>54</v>
      </c>
      <c r="B33" s="1" t="s">
        <v>55</v>
      </c>
      <c r="C33" s="4" t="str">
        <f>HYPERLINK("https://meetingtrackerautomated.atlassian.net/rest/api/3/issue/10421","SCRUM-155")</f>
        <v>SCRUM-155</v>
      </c>
      <c r="D33" s="1" t="s">
        <v>121</v>
      </c>
      <c r="E33" s="1" t="s">
        <v>133</v>
      </c>
      <c r="F33" s="1" t="s">
        <v>134</v>
      </c>
      <c r="G33" s="2" t="s">
        <v>191</v>
      </c>
      <c r="H33" s="1" t="s">
        <v>192</v>
      </c>
      <c r="I33" s="1" t="s">
        <v>125</v>
      </c>
      <c r="J33" s="7" t="s">
        <v>193</v>
      </c>
    </row>
    <row r="34">
      <c r="A34" s="1" t="s">
        <v>54</v>
      </c>
      <c r="B34" s="1" t="s">
        <v>55</v>
      </c>
      <c r="C34" s="4" t="str">
        <f>HYPERLINK("https://meetingtrackerautomated.atlassian.net/rest/api/3/issue/10422","SCRUM-156")</f>
        <v>SCRUM-156</v>
      </c>
      <c r="D34" s="1" t="s">
        <v>108</v>
      </c>
      <c r="E34" s="1" t="s">
        <v>147</v>
      </c>
      <c r="F34" s="1" t="s">
        <v>128</v>
      </c>
      <c r="G34" s="2" t="s">
        <v>194</v>
      </c>
      <c r="H34" s="1" t="s">
        <v>118</v>
      </c>
      <c r="I34" s="1" t="s">
        <v>113</v>
      </c>
      <c r="J34" s="7" t="s">
        <v>183</v>
      </c>
    </row>
    <row r="35">
      <c r="A35" s="1" t="s">
        <v>54</v>
      </c>
      <c r="B35" s="1" t="s">
        <v>55</v>
      </c>
      <c r="C35" s="4" t="str">
        <f>HYPERLINK("https://meetingtrackerautomated.atlassian.net/rest/api/3/issue/10423","SCRUM-157")</f>
        <v>SCRUM-157</v>
      </c>
      <c r="D35" s="1" t="s">
        <v>108</v>
      </c>
      <c r="E35" s="1" t="s">
        <v>133</v>
      </c>
      <c r="F35" s="1" t="s">
        <v>110</v>
      </c>
      <c r="G35" s="2" t="s">
        <v>195</v>
      </c>
      <c r="H35" s="1"/>
      <c r="I35" s="1" t="s">
        <v>113</v>
      </c>
      <c r="J35" s="7" t="s">
        <v>196</v>
      </c>
    </row>
    <row r="36">
      <c r="A36" s="1" t="s">
        <v>54</v>
      </c>
      <c r="B36" s="1" t="s">
        <v>55</v>
      </c>
      <c r="C36" s="4" t="str">
        <f>HYPERLINK("https://meetingtrackerautomated.atlassian.net/rest/api/3/issue/10424","SCRUM-158")</f>
        <v>SCRUM-158</v>
      </c>
      <c r="D36" s="1" t="s">
        <v>108</v>
      </c>
      <c r="E36" s="1" t="s">
        <v>147</v>
      </c>
      <c r="F36" s="1" t="s">
        <v>138</v>
      </c>
      <c r="G36" s="2" t="s">
        <v>197</v>
      </c>
      <c r="H36" s="1" t="s">
        <v>198</v>
      </c>
      <c r="I36" s="1" t="s">
        <v>113</v>
      </c>
      <c r="J36" s="7" t="s">
        <v>199</v>
      </c>
    </row>
    <row r="37">
      <c r="A37" s="1" t="s">
        <v>54</v>
      </c>
      <c r="B37" s="1" t="s">
        <v>55</v>
      </c>
      <c r="C37" s="4" t="str">
        <f>HYPERLINK("https://meetingtrackerautomated.atlassian.net/rest/api/3/issue/10425","SCRUM-159")</f>
        <v>SCRUM-159</v>
      </c>
      <c r="D37" s="1" t="s">
        <v>108</v>
      </c>
      <c r="E37" s="1" t="s">
        <v>133</v>
      </c>
      <c r="F37" s="1" t="s">
        <v>128</v>
      </c>
      <c r="G37" s="2" t="s">
        <v>182</v>
      </c>
      <c r="H37" s="1" t="s">
        <v>112</v>
      </c>
      <c r="I37" s="1" t="s">
        <v>113</v>
      </c>
      <c r="J37" s="7" t="s">
        <v>183</v>
      </c>
    </row>
    <row r="38">
      <c r="A38" s="1" t="s">
        <v>54</v>
      </c>
      <c r="B38" s="1" t="s">
        <v>55</v>
      </c>
      <c r="C38" s="4" t="str">
        <f>HYPERLINK("https://meetingtrackerautomated.atlassian.net/rest/api/3/issue/10426","SCRUM-160")</f>
        <v>SCRUM-160</v>
      </c>
      <c r="D38" s="1" t="s">
        <v>108</v>
      </c>
      <c r="E38" s="1" t="s">
        <v>109</v>
      </c>
      <c r="F38" s="1" t="s">
        <v>131</v>
      </c>
      <c r="G38" s="2" t="s">
        <v>184</v>
      </c>
      <c r="H38" s="1"/>
      <c r="I38" s="1" t="s">
        <v>113</v>
      </c>
      <c r="J38" s="7" t="s">
        <v>185</v>
      </c>
    </row>
    <row r="39">
      <c r="A39" s="1" t="s">
        <v>54</v>
      </c>
      <c r="B39" s="1" t="s">
        <v>55</v>
      </c>
      <c r="C39" s="4" t="str">
        <f>HYPERLINK("https://meetingtrackerautomated.atlassian.net/rest/api/3/issue/10427","SCRUM-161")</f>
        <v>SCRUM-161</v>
      </c>
      <c r="D39" s="1" t="s">
        <v>108</v>
      </c>
      <c r="E39" s="1" t="s">
        <v>109</v>
      </c>
      <c r="F39" s="1" t="s">
        <v>143</v>
      </c>
      <c r="G39" s="2" t="s">
        <v>186</v>
      </c>
      <c r="H39" s="1" t="s">
        <v>187</v>
      </c>
      <c r="I39" s="1" t="s">
        <v>113</v>
      </c>
      <c r="J39" s="7" t="s">
        <v>188</v>
      </c>
    </row>
    <row r="40">
      <c r="A40" s="1" t="s">
        <v>54</v>
      </c>
      <c r="B40" s="1" t="s">
        <v>55</v>
      </c>
      <c r="C40" s="4" t="str">
        <f>HYPERLINK("https://meetingtrackerautomated.atlassian.net/rest/api/3/issue/10428","SCRUM-162")</f>
        <v>SCRUM-162</v>
      </c>
      <c r="D40" s="1" t="s">
        <v>108</v>
      </c>
      <c r="E40" s="1" t="s">
        <v>133</v>
      </c>
      <c r="F40" s="1" t="s">
        <v>153</v>
      </c>
      <c r="G40" s="2" t="s">
        <v>200</v>
      </c>
      <c r="H40" s="1"/>
      <c r="I40" s="1" t="s">
        <v>113</v>
      </c>
      <c r="J40" s="7" t="s">
        <v>190</v>
      </c>
    </row>
    <row r="41">
      <c r="A41" s="1" t="s">
        <v>54</v>
      </c>
      <c r="B41" s="1" t="s">
        <v>55</v>
      </c>
      <c r="C41" s="4" t="str">
        <f>HYPERLINK("https://meetingtrackerautomated.atlassian.net/rest/api/3/issue/10429","SCRUM-163")</f>
        <v>SCRUM-163</v>
      </c>
      <c r="D41" s="1" t="s">
        <v>108</v>
      </c>
      <c r="E41" s="1" t="s">
        <v>133</v>
      </c>
      <c r="F41" s="1" t="s">
        <v>134</v>
      </c>
      <c r="G41" s="2" t="s">
        <v>191</v>
      </c>
      <c r="H41" s="1" t="s">
        <v>192</v>
      </c>
      <c r="I41" s="1" t="s">
        <v>113</v>
      </c>
      <c r="J41" s="7" t="s">
        <v>201</v>
      </c>
    </row>
    <row r="42">
      <c r="A42" s="1" t="s">
        <v>54</v>
      </c>
      <c r="B42" s="1" t="s">
        <v>55</v>
      </c>
      <c r="C42" s="4" t="str">
        <f>HYPERLINK("https://meetingtrackerautomated.atlassian.net/rest/api/3/issue/10430","SCRUM-164")</f>
        <v>SCRUM-164</v>
      </c>
      <c r="D42" s="1" t="s">
        <v>108</v>
      </c>
      <c r="E42" s="1" t="s">
        <v>147</v>
      </c>
      <c r="F42" s="1" t="s">
        <v>128</v>
      </c>
      <c r="G42" s="2" t="s">
        <v>194</v>
      </c>
      <c r="H42" s="1" t="s">
        <v>118</v>
      </c>
      <c r="I42" s="1" t="s">
        <v>113</v>
      </c>
      <c r="J42" s="7" t="s">
        <v>183</v>
      </c>
    </row>
    <row r="43">
      <c r="A43" s="1" t="s">
        <v>54</v>
      </c>
      <c r="B43" s="1" t="s">
        <v>55</v>
      </c>
      <c r="C43" s="4" t="str">
        <f>HYPERLINK("https://meetingtrackerautomated.atlassian.net/rest/api/3/issue/10431","SCRUM-165")</f>
        <v>SCRUM-165</v>
      </c>
      <c r="D43" s="1" t="s">
        <v>108</v>
      </c>
      <c r="E43" s="1" t="s">
        <v>133</v>
      </c>
      <c r="F43" s="1" t="s">
        <v>110</v>
      </c>
      <c r="G43" s="2" t="s">
        <v>202</v>
      </c>
      <c r="H43" s="1"/>
      <c r="I43" s="1" t="s">
        <v>113</v>
      </c>
      <c r="J43" s="7" t="s">
        <v>196</v>
      </c>
    </row>
    <row r="44">
      <c r="A44" s="1" t="s">
        <v>54</v>
      </c>
      <c r="B44" s="1" t="s">
        <v>55</v>
      </c>
      <c r="C44" s="4" t="str">
        <f>HYPERLINK("https://meetingtrackerautomated.atlassian.net/rest/api/3/issue/10432","SCRUM-166")</f>
        <v>SCRUM-166</v>
      </c>
      <c r="D44" s="1" t="s">
        <v>108</v>
      </c>
      <c r="E44" s="1" t="s">
        <v>147</v>
      </c>
      <c r="F44" s="1" t="s">
        <v>138</v>
      </c>
      <c r="G44" s="2" t="s">
        <v>197</v>
      </c>
      <c r="H44" s="1" t="s">
        <v>198</v>
      </c>
      <c r="I44" s="1" t="s">
        <v>113</v>
      </c>
      <c r="J44" s="7" t="s">
        <v>199</v>
      </c>
    </row>
    <row r="45">
      <c r="A45" s="1" t="s">
        <v>88</v>
      </c>
      <c r="B45" s="1" t="s">
        <v>89</v>
      </c>
      <c r="C45" s="4" t="str">
        <f>HYPERLINK("https://meetingtrackerautomated.atlassian.net/rest/api/3/issue/10465","SCRUM-167")</f>
        <v>SCRUM-167</v>
      </c>
      <c r="D45" s="1" t="s">
        <v>121</v>
      </c>
      <c r="E45" s="1" t="s">
        <v>133</v>
      </c>
      <c r="F45" s="1" t="s">
        <v>131</v>
      </c>
      <c r="G45" s="2" t="s">
        <v>203</v>
      </c>
      <c r="H45" s="1" t="s">
        <v>204</v>
      </c>
      <c r="I45" s="1" t="s">
        <v>125</v>
      </c>
      <c r="J45" s="7" t="s">
        <v>205</v>
      </c>
    </row>
    <row r="46">
      <c r="A46" s="1" t="s">
        <v>88</v>
      </c>
      <c r="B46" s="1" t="s">
        <v>89</v>
      </c>
      <c r="C46" s="4" t="str">
        <f>HYPERLINK("https://meetingtrackerautomated.atlassian.net/rest/api/3/issue/10466","SCRUM-168")</f>
        <v>SCRUM-168</v>
      </c>
      <c r="D46" s="1" t="s">
        <v>115</v>
      </c>
      <c r="E46" s="1" t="s">
        <v>133</v>
      </c>
      <c r="F46" s="1" t="s">
        <v>138</v>
      </c>
      <c r="G46" s="2" t="s">
        <v>206</v>
      </c>
      <c r="H46" s="1" t="s">
        <v>207</v>
      </c>
      <c r="I46" s="1" t="s">
        <v>119</v>
      </c>
      <c r="J46" s="7" t="s">
        <v>208</v>
      </c>
    </row>
    <row r="47">
      <c r="A47" s="1" t="s">
        <v>88</v>
      </c>
      <c r="B47" s="1" t="s">
        <v>89</v>
      </c>
      <c r="C47" s="4" t="str">
        <f>HYPERLINK("https://meetingtrackerautomated.atlassian.net/rest/api/3/issue/10467","SCRUM-169")</f>
        <v>SCRUM-169</v>
      </c>
      <c r="D47" s="1" t="s">
        <v>108</v>
      </c>
      <c r="E47" s="1" t="s">
        <v>133</v>
      </c>
      <c r="F47" s="1" t="s">
        <v>153</v>
      </c>
      <c r="G47" s="2" t="s">
        <v>209</v>
      </c>
      <c r="H47" s="1" t="s">
        <v>136</v>
      </c>
      <c r="I47" s="1" t="s">
        <v>113</v>
      </c>
      <c r="J47" s="7" t="s">
        <v>210</v>
      </c>
    </row>
    <row r="48">
      <c r="A48" s="1" t="s">
        <v>88</v>
      </c>
      <c r="B48" s="1" t="s">
        <v>89</v>
      </c>
      <c r="C48" s="4" t="str">
        <f>HYPERLINK("https://meetingtrackerautomated.atlassian.net/rest/api/3/issue/10468","SCRUM-170")</f>
        <v>SCRUM-170</v>
      </c>
      <c r="D48" s="1" t="s">
        <v>108</v>
      </c>
      <c r="E48" s="1" t="s">
        <v>109</v>
      </c>
      <c r="F48" s="1" t="s">
        <v>134</v>
      </c>
      <c r="G48" s="2" t="s">
        <v>211</v>
      </c>
      <c r="H48" s="1" t="s">
        <v>207</v>
      </c>
      <c r="I48" s="1" t="s">
        <v>113</v>
      </c>
      <c r="J48" s="7" t="s">
        <v>212</v>
      </c>
    </row>
    <row r="49">
      <c r="A49" s="1" t="s">
        <v>88</v>
      </c>
      <c r="B49" s="1" t="s">
        <v>89</v>
      </c>
      <c r="C49" s="4" t="str">
        <f>HYPERLINK("https://meetingtrackerautomated.atlassian.net/rest/api/3/issue/10469","SCRUM-171")</f>
        <v>SCRUM-171</v>
      </c>
      <c r="D49" s="1" t="s">
        <v>108</v>
      </c>
      <c r="E49" s="1" t="s">
        <v>109</v>
      </c>
      <c r="F49" s="1" t="s">
        <v>128</v>
      </c>
      <c r="G49" s="2" t="s">
        <v>213</v>
      </c>
      <c r="H49" s="1" t="s">
        <v>112</v>
      </c>
      <c r="I49" s="1" t="s">
        <v>113</v>
      </c>
      <c r="J49" s="7" t="s">
        <v>214</v>
      </c>
    </row>
    <row r="50">
      <c r="A50" s="1" t="s">
        <v>88</v>
      </c>
      <c r="B50" s="1" t="s">
        <v>89</v>
      </c>
      <c r="C50" s="4" t="str">
        <f>HYPERLINK("https://meetingtrackerautomated.atlassian.net/rest/api/3/issue/10470","SCRUM-172")</f>
        <v>SCRUM-172</v>
      </c>
      <c r="D50" s="1" t="s">
        <v>108</v>
      </c>
      <c r="E50" s="1" t="s">
        <v>133</v>
      </c>
      <c r="F50" s="1" t="s">
        <v>131</v>
      </c>
      <c r="G50" s="2" t="s">
        <v>215</v>
      </c>
      <c r="H50" s="1" t="s">
        <v>216</v>
      </c>
      <c r="I50" s="1" t="s">
        <v>113</v>
      </c>
      <c r="J50" s="7" t="s">
        <v>217</v>
      </c>
    </row>
    <row r="51">
      <c r="A51" s="1" t="s">
        <v>88</v>
      </c>
      <c r="B51" s="1" t="s">
        <v>89</v>
      </c>
      <c r="C51" s="4" t="str">
        <f>HYPERLINK("https://meetingtrackerautomated.atlassian.net/rest/api/3/issue/10471","SCRUM-173")</f>
        <v>SCRUM-173</v>
      </c>
      <c r="D51" s="1" t="s">
        <v>108</v>
      </c>
      <c r="E51" s="1" t="s">
        <v>133</v>
      </c>
      <c r="F51" s="1" t="s">
        <v>138</v>
      </c>
      <c r="G51" s="2" t="s">
        <v>218</v>
      </c>
      <c r="H51" s="1" t="s">
        <v>207</v>
      </c>
      <c r="I51" s="1" t="s">
        <v>113</v>
      </c>
      <c r="J51" s="7" t="s">
        <v>219</v>
      </c>
    </row>
    <row r="52">
      <c r="A52" s="1" t="s">
        <v>88</v>
      </c>
      <c r="B52" s="1" t="s">
        <v>89</v>
      </c>
      <c r="C52" s="4" t="str">
        <f>HYPERLINK("https://meetingtrackerautomated.atlassian.net/rest/api/3/issue/10472","SCRUM-174")</f>
        <v>SCRUM-174</v>
      </c>
      <c r="D52" s="1" t="s">
        <v>108</v>
      </c>
      <c r="E52" s="1" t="s">
        <v>109</v>
      </c>
      <c r="F52" s="1" t="s">
        <v>220</v>
      </c>
      <c r="G52" s="2" t="s">
        <v>221</v>
      </c>
      <c r="H52" s="1" t="s">
        <v>112</v>
      </c>
      <c r="I52" s="1" t="s">
        <v>113</v>
      </c>
      <c r="J52" s="7" t="s">
        <v>222</v>
      </c>
    </row>
    <row r="53">
      <c r="A53" s="1" t="s">
        <v>92</v>
      </c>
      <c r="B53" s="1" t="s">
        <v>89</v>
      </c>
      <c r="C53" s="4" t="str">
        <f>HYPERLINK("https://meetingtrackerautomated.atlassian.net/rest/api/3/issue/10505","SCRUM-175")</f>
        <v>SCRUM-175</v>
      </c>
      <c r="D53" s="1" t="s">
        <v>121</v>
      </c>
      <c r="E53" s="1" t="s">
        <v>133</v>
      </c>
      <c r="F53" s="1" t="s">
        <v>131</v>
      </c>
      <c r="G53" s="2" t="s">
        <v>203</v>
      </c>
      <c r="H53" s="1" t="s">
        <v>204</v>
      </c>
      <c r="I53" s="1" t="s">
        <v>125</v>
      </c>
      <c r="J53" s="7" t="s">
        <v>223</v>
      </c>
    </row>
    <row r="54">
      <c r="A54" s="1" t="s">
        <v>92</v>
      </c>
      <c r="B54" s="1" t="s">
        <v>89</v>
      </c>
      <c r="C54" s="4" t="str">
        <f>HYPERLINK("https://meetingtrackerautomated.atlassian.net/rest/api/3/issue/10506","SCRUM-176")</f>
        <v>SCRUM-176</v>
      </c>
      <c r="D54" s="1" t="s">
        <v>108</v>
      </c>
      <c r="E54" s="1" t="s">
        <v>133</v>
      </c>
      <c r="F54" s="1" t="s">
        <v>138</v>
      </c>
      <c r="G54" s="2" t="s">
        <v>206</v>
      </c>
      <c r="H54" s="1" t="s">
        <v>207</v>
      </c>
      <c r="I54" s="1" t="s">
        <v>113</v>
      </c>
      <c r="J54" s="7" t="s">
        <v>224</v>
      </c>
    </row>
    <row r="55">
      <c r="A55" s="1" t="s">
        <v>92</v>
      </c>
      <c r="B55" s="1" t="s">
        <v>89</v>
      </c>
      <c r="C55" s="4" t="str">
        <f>HYPERLINK("https://meetingtrackerautomated.atlassian.net/rest/api/3/issue/10507","SCRUM-177")</f>
        <v>SCRUM-177</v>
      </c>
      <c r="D55" s="1" t="s">
        <v>108</v>
      </c>
      <c r="E55" s="1" t="s">
        <v>109</v>
      </c>
      <c r="F55" s="1" t="s">
        <v>153</v>
      </c>
      <c r="G55" s="2" t="s">
        <v>209</v>
      </c>
      <c r="H55" s="1" t="s">
        <v>136</v>
      </c>
      <c r="I55" s="1" t="s">
        <v>113</v>
      </c>
      <c r="J55" s="7" t="s">
        <v>225</v>
      </c>
    </row>
    <row r="56">
      <c r="A56" s="1" t="s">
        <v>92</v>
      </c>
      <c r="B56" s="1" t="s">
        <v>89</v>
      </c>
      <c r="C56" s="4" t="str">
        <f>HYPERLINK("https://meetingtrackerautomated.atlassian.net/rest/api/3/issue/10508","SCRUM-178")</f>
        <v>SCRUM-178</v>
      </c>
      <c r="D56" s="1" t="s">
        <v>108</v>
      </c>
      <c r="E56" s="1" t="s">
        <v>109</v>
      </c>
      <c r="F56" s="1" t="s">
        <v>134</v>
      </c>
      <c r="G56" s="2" t="s">
        <v>211</v>
      </c>
      <c r="H56" s="1" t="s">
        <v>207</v>
      </c>
      <c r="I56" s="1" t="s">
        <v>113</v>
      </c>
      <c r="J56" s="7" t="s">
        <v>226</v>
      </c>
    </row>
    <row r="57">
      <c r="A57" s="1" t="s">
        <v>92</v>
      </c>
      <c r="B57" s="1" t="s">
        <v>89</v>
      </c>
      <c r="C57" s="4" t="str">
        <f>HYPERLINK("https://meetingtrackerautomated.atlassian.net/rest/api/3/issue/10509","SCRUM-179")</f>
        <v>SCRUM-179</v>
      </c>
      <c r="D57" s="1" t="s">
        <v>108</v>
      </c>
      <c r="E57" s="1" t="s">
        <v>109</v>
      </c>
      <c r="F57" s="1" t="s">
        <v>128</v>
      </c>
      <c r="G57" s="2" t="s">
        <v>213</v>
      </c>
      <c r="H57" s="1" t="s">
        <v>112</v>
      </c>
      <c r="I57" s="1" t="s">
        <v>113</v>
      </c>
      <c r="J57" s="7" t="s">
        <v>227</v>
      </c>
    </row>
    <row r="58">
      <c r="A58" s="1" t="s">
        <v>92</v>
      </c>
      <c r="B58" s="1" t="s">
        <v>89</v>
      </c>
      <c r="C58" s="4" t="str">
        <f>HYPERLINK("https://meetingtrackerautomated.atlassian.net/rest/api/3/issue/10510","SCRUM-180")</f>
        <v>SCRUM-180</v>
      </c>
      <c r="D58" s="1" t="s">
        <v>108</v>
      </c>
      <c r="E58" s="1" t="s">
        <v>133</v>
      </c>
      <c r="F58" s="1" t="s">
        <v>228</v>
      </c>
      <c r="G58" s="2" t="s">
        <v>229</v>
      </c>
      <c r="H58" s="1" t="s">
        <v>204</v>
      </c>
      <c r="I58" s="1" t="s">
        <v>113</v>
      </c>
      <c r="J58" s="7" t="s">
        <v>230</v>
      </c>
    </row>
    <row r="59">
      <c r="A59" s="1" t="s">
        <v>92</v>
      </c>
      <c r="B59" s="1" t="s">
        <v>89</v>
      </c>
      <c r="C59" s="4" t="str">
        <f>HYPERLINK("https://meetingtrackerautomated.atlassian.net/rest/api/3/issue/10511","SCRUM-181")</f>
        <v>SCRUM-181</v>
      </c>
      <c r="D59" s="1" t="s">
        <v>108</v>
      </c>
      <c r="E59" s="1" t="s">
        <v>133</v>
      </c>
      <c r="F59" s="1" t="s">
        <v>131</v>
      </c>
      <c r="G59" s="2" t="s">
        <v>203</v>
      </c>
      <c r="H59" s="1" t="s">
        <v>204</v>
      </c>
      <c r="I59" s="1" t="s">
        <v>113</v>
      </c>
      <c r="J59" s="7" t="s">
        <v>231</v>
      </c>
    </row>
    <row r="60">
      <c r="A60" s="1" t="s">
        <v>92</v>
      </c>
      <c r="B60" s="1" t="s">
        <v>89</v>
      </c>
      <c r="C60" s="4" t="str">
        <f>HYPERLINK("https://meetingtrackerautomated.atlassian.net/rest/api/3/issue/10512","SCRUM-182")</f>
        <v>SCRUM-182</v>
      </c>
      <c r="D60" s="1" t="s">
        <v>108</v>
      </c>
      <c r="E60" s="1" t="s">
        <v>133</v>
      </c>
      <c r="F60" s="1" t="s">
        <v>138</v>
      </c>
      <c r="G60" s="2" t="s">
        <v>206</v>
      </c>
      <c r="H60" s="1" t="s">
        <v>207</v>
      </c>
      <c r="I60" s="1" t="s">
        <v>113</v>
      </c>
      <c r="J60" s="7" t="s">
        <v>224</v>
      </c>
    </row>
    <row r="61">
      <c r="A61" s="1" t="s">
        <v>92</v>
      </c>
      <c r="B61" s="1" t="s">
        <v>89</v>
      </c>
      <c r="C61" s="4" t="str">
        <f>HYPERLINK("https://meetingtrackerautomated.atlassian.net/rest/api/3/issue/10513","SCRUM-183")</f>
        <v>SCRUM-183</v>
      </c>
      <c r="D61" s="1" t="s">
        <v>108</v>
      </c>
      <c r="E61" s="1" t="s">
        <v>133</v>
      </c>
      <c r="F61" s="1" t="s">
        <v>153</v>
      </c>
      <c r="G61" s="2" t="s">
        <v>209</v>
      </c>
      <c r="H61" s="1" t="s">
        <v>136</v>
      </c>
      <c r="I61" s="1" t="s">
        <v>113</v>
      </c>
      <c r="J61" s="7" t="s">
        <v>225</v>
      </c>
    </row>
    <row r="62">
      <c r="A62" s="1" t="s">
        <v>92</v>
      </c>
      <c r="B62" s="1" t="s">
        <v>89</v>
      </c>
      <c r="C62" s="4" t="str">
        <f>HYPERLINK("https://meetingtrackerautomated.atlassian.net/rest/api/3/issue/10514","SCRUM-184")</f>
        <v>SCRUM-184</v>
      </c>
      <c r="D62" s="1" t="s">
        <v>108</v>
      </c>
      <c r="E62" s="1" t="s">
        <v>109</v>
      </c>
      <c r="F62" s="1" t="s">
        <v>134</v>
      </c>
      <c r="G62" s="2" t="s">
        <v>211</v>
      </c>
      <c r="H62" s="1" t="s">
        <v>207</v>
      </c>
      <c r="I62" s="1" t="s">
        <v>113</v>
      </c>
      <c r="J62" s="7" t="s">
        <v>226</v>
      </c>
    </row>
    <row r="63">
      <c r="A63" s="1" t="s">
        <v>92</v>
      </c>
      <c r="B63" s="1" t="s">
        <v>89</v>
      </c>
      <c r="C63" s="4" t="str">
        <f>HYPERLINK("https://meetingtrackerautomated.atlassian.net/rest/api/3/issue/10515","SCRUM-185")</f>
        <v>SCRUM-185</v>
      </c>
      <c r="D63" s="1" t="s">
        <v>108</v>
      </c>
      <c r="E63" s="1" t="s">
        <v>109</v>
      </c>
      <c r="F63" s="1" t="s">
        <v>128</v>
      </c>
      <c r="G63" s="2" t="s">
        <v>213</v>
      </c>
      <c r="H63" s="1" t="s">
        <v>112</v>
      </c>
      <c r="I63" s="1" t="s">
        <v>113</v>
      </c>
      <c r="J63" s="7" t="s">
        <v>227</v>
      </c>
    </row>
    <row r="64">
      <c r="A64" s="1" t="s">
        <v>92</v>
      </c>
      <c r="B64" s="1" t="s">
        <v>89</v>
      </c>
      <c r="C64" s="4" t="str">
        <f>HYPERLINK("https://meetingtrackerautomated.atlassian.net/rest/api/3/issue/10516","SCRUM-186")</f>
        <v>SCRUM-186</v>
      </c>
      <c r="D64" s="1" t="s">
        <v>108</v>
      </c>
      <c r="E64" s="1" t="s">
        <v>133</v>
      </c>
      <c r="F64" s="1" t="s">
        <v>228</v>
      </c>
      <c r="G64" s="2" t="s">
        <v>229</v>
      </c>
      <c r="H64" s="1" t="s">
        <v>204</v>
      </c>
      <c r="I64" s="1" t="s">
        <v>113</v>
      </c>
      <c r="J64" s="7" t="s">
        <v>230</v>
      </c>
    </row>
    <row r="65">
      <c r="A65" s="1" t="s">
        <v>92</v>
      </c>
      <c r="B65" s="1" t="s">
        <v>89</v>
      </c>
      <c r="C65" s="4" t="str">
        <f>HYPERLINK("https://meetingtrackerautomated.atlassian.net/rest/api/3/issue/10517","SCRUM-187")</f>
        <v>SCRUM-187</v>
      </c>
      <c r="D65" s="1" t="s">
        <v>121</v>
      </c>
      <c r="E65" s="1" t="s">
        <v>133</v>
      </c>
      <c r="F65" s="1" t="s">
        <v>131</v>
      </c>
      <c r="G65" s="2" t="s">
        <v>203</v>
      </c>
      <c r="H65" s="1" t="s">
        <v>204</v>
      </c>
      <c r="I65" s="1" t="s">
        <v>125</v>
      </c>
      <c r="J65" s="7" t="s">
        <v>223</v>
      </c>
    </row>
    <row r="66">
      <c r="A66" s="1" t="s">
        <v>92</v>
      </c>
      <c r="B66" s="1" t="s">
        <v>89</v>
      </c>
      <c r="C66" s="4" t="str">
        <f>HYPERLINK("https://meetingtrackerautomated.atlassian.net/rest/api/3/issue/10518","SCRUM-188")</f>
        <v>SCRUM-188</v>
      </c>
      <c r="D66" s="1" t="s">
        <v>108</v>
      </c>
      <c r="E66" s="1" t="s">
        <v>133</v>
      </c>
      <c r="F66" s="1" t="s">
        <v>138</v>
      </c>
      <c r="G66" s="2" t="s">
        <v>206</v>
      </c>
      <c r="H66" s="1" t="s">
        <v>207</v>
      </c>
      <c r="I66" s="1" t="s">
        <v>113</v>
      </c>
      <c r="J66" s="7" t="s">
        <v>224</v>
      </c>
    </row>
    <row r="67">
      <c r="A67" s="1" t="s">
        <v>92</v>
      </c>
      <c r="B67" s="1" t="s">
        <v>89</v>
      </c>
      <c r="C67" s="4" t="str">
        <f>HYPERLINK("https://meetingtrackerautomated.atlassian.net/rest/api/3/issue/10519","SCRUM-189")</f>
        <v>SCRUM-189</v>
      </c>
      <c r="D67" s="1" t="s">
        <v>108</v>
      </c>
      <c r="E67" s="1" t="s">
        <v>133</v>
      </c>
      <c r="F67" s="1" t="s">
        <v>153</v>
      </c>
      <c r="G67" s="2" t="s">
        <v>209</v>
      </c>
      <c r="H67" s="1" t="s">
        <v>136</v>
      </c>
      <c r="I67" s="1" t="s">
        <v>113</v>
      </c>
      <c r="J67" s="7" t="s">
        <v>225</v>
      </c>
    </row>
    <row r="68">
      <c r="A68" s="1" t="s">
        <v>92</v>
      </c>
      <c r="B68" s="1" t="s">
        <v>89</v>
      </c>
      <c r="C68" s="4" t="str">
        <f>HYPERLINK("https://meetingtrackerautomated.atlassian.net/rest/api/3/issue/10520","SCRUM-190")</f>
        <v>SCRUM-190</v>
      </c>
      <c r="D68" s="1" t="s">
        <v>108</v>
      </c>
      <c r="E68" s="1" t="s">
        <v>109</v>
      </c>
      <c r="F68" s="1" t="s">
        <v>134</v>
      </c>
      <c r="G68" s="2" t="s">
        <v>211</v>
      </c>
      <c r="H68" s="1" t="s">
        <v>207</v>
      </c>
      <c r="I68" s="1" t="s">
        <v>113</v>
      </c>
      <c r="J68" s="7" t="s">
        <v>226</v>
      </c>
    </row>
    <row r="69">
      <c r="A69" s="1" t="s">
        <v>92</v>
      </c>
      <c r="B69" s="1" t="s">
        <v>89</v>
      </c>
      <c r="C69" s="4" t="str">
        <f>HYPERLINK("https://meetingtrackerautomated.atlassian.net/rest/api/3/issue/10521","SCRUM-191")</f>
        <v>SCRUM-191</v>
      </c>
      <c r="D69" s="1" t="s">
        <v>108</v>
      </c>
      <c r="E69" s="1" t="s">
        <v>109</v>
      </c>
      <c r="F69" s="1" t="s">
        <v>128</v>
      </c>
      <c r="G69" s="2" t="s">
        <v>213</v>
      </c>
      <c r="H69" s="1" t="s">
        <v>112</v>
      </c>
      <c r="I69" s="1" t="s">
        <v>113</v>
      </c>
      <c r="J69" s="7" t="s">
        <v>227</v>
      </c>
    </row>
    <row r="70">
      <c r="A70" s="1" t="s">
        <v>92</v>
      </c>
      <c r="B70" s="1" t="s">
        <v>89</v>
      </c>
      <c r="C70" s="4" t="str">
        <f>HYPERLINK("https://meetingtrackerautomated.atlassian.net/rest/api/3/issue/10522","SCRUM-192")</f>
        <v>SCRUM-192</v>
      </c>
      <c r="D70" s="1" t="s">
        <v>108</v>
      </c>
      <c r="E70" s="1" t="s">
        <v>133</v>
      </c>
      <c r="F70" s="1" t="s">
        <v>131</v>
      </c>
      <c r="G70" s="2" t="s">
        <v>215</v>
      </c>
      <c r="H70" s="1" t="s">
        <v>204</v>
      </c>
      <c r="I70" s="1" t="s">
        <v>113</v>
      </c>
      <c r="J70" s="7" t="s">
        <v>231</v>
      </c>
    </row>
    <row r="71">
      <c r="A71" s="1"/>
      <c r="B71" s="1"/>
      <c r="C71" s="1"/>
      <c r="D71" s="1"/>
      <c r="E71" s="1"/>
      <c r="F71" s="1"/>
      <c r="G71" s="2"/>
      <c r="H71" s="1"/>
      <c r="I71" s="1"/>
    </row>
    <row r="72">
      <c r="A72" s="1"/>
      <c r="B72" s="1"/>
      <c r="C72" s="1"/>
      <c r="D72" s="1"/>
      <c r="E72" s="1"/>
      <c r="F72" s="1"/>
      <c r="G72" s="2"/>
      <c r="H72" s="1"/>
      <c r="I72" s="1"/>
    </row>
    <row r="73">
      <c r="A73" s="1"/>
      <c r="B73" s="1"/>
      <c r="C73" s="1"/>
      <c r="D73" s="1"/>
      <c r="E73" s="1"/>
      <c r="F73" s="1"/>
      <c r="G73" s="2"/>
      <c r="H73" s="1"/>
      <c r="I73" s="1"/>
    </row>
    <row r="74">
      <c r="A74" s="1"/>
      <c r="B74" s="1"/>
      <c r="C74" s="1"/>
      <c r="D74" s="1"/>
      <c r="E74" s="1"/>
      <c r="F74" s="1"/>
      <c r="G74" s="2"/>
      <c r="H74" s="1"/>
      <c r="I74" s="1"/>
    </row>
    <row r="75">
      <c r="A75" s="1"/>
      <c r="B75" s="1"/>
      <c r="C75" s="1"/>
      <c r="D75" s="1"/>
      <c r="E75" s="1"/>
      <c r="F75" s="1"/>
      <c r="G75" s="2"/>
      <c r="H75" s="1"/>
      <c r="I75" s="1"/>
    </row>
    <row r="76">
      <c r="A76" s="1"/>
      <c r="B76" s="1"/>
      <c r="C76" s="1"/>
      <c r="D76" s="1"/>
      <c r="E76" s="1"/>
      <c r="F76" s="1"/>
      <c r="G76" s="2"/>
      <c r="H76" s="1"/>
      <c r="I76" s="1"/>
    </row>
    <row r="77">
      <c r="A77" s="1"/>
      <c r="B77" s="1"/>
      <c r="C77" s="1"/>
      <c r="D77" s="1"/>
      <c r="E77" s="1"/>
      <c r="F77" s="1"/>
      <c r="G77" s="2"/>
      <c r="H77" s="1"/>
      <c r="I77" s="1"/>
    </row>
    <row r="78">
      <c r="A78" s="1"/>
      <c r="B78" s="1"/>
      <c r="C78" s="1"/>
      <c r="D78" s="1"/>
      <c r="E78" s="1"/>
      <c r="F78" s="1"/>
      <c r="G78" s="2"/>
      <c r="H78" s="1"/>
      <c r="I78" s="1"/>
    </row>
    <row r="79">
      <c r="A79" s="1"/>
      <c r="B79" s="1"/>
      <c r="C79" s="1"/>
      <c r="D79" s="1"/>
      <c r="E79" s="1"/>
      <c r="F79" s="1"/>
      <c r="G79" s="2"/>
      <c r="H79" s="1"/>
      <c r="I79" s="1"/>
    </row>
    <row r="80">
      <c r="A80" s="1"/>
      <c r="B80" s="1"/>
      <c r="C80" s="1"/>
      <c r="D80" s="1"/>
      <c r="E80" s="1"/>
      <c r="F80" s="1"/>
      <c r="G80" s="2"/>
      <c r="H80" s="1"/>
      <c r="I80" s="1"/>
    </row>
    <row r="81">
      <c r="A81" s="1"/>
      <c r="B81" s="1"/>
      <c r="C81" s="1"/>
      <c r="D81" s="1"/>
      <c r="E81" s="1"/>
      <c r="F81" s="1"/>
      <c r="G81" s="2"/>
      <c r="H81" s="1"/>
      <c r="I81" s="1"/>
    </row>
    <row r="82">
      <c r="A82" s="1"/>
      <c r="B82" s="1"/>
      <c r="C82" s="1"/>
      <c r="D82" s="1"/>
      <c r="E82" s="1"/>
      <c r="F82" s="1"/>
      <c r="G82" s="2"/>
      <c r="H82" s="1"/>
      <c r="I82" s="1"/>
    </row>
    <row r="83">
      <c r="A83" s="1"/>
      <c r="B83" s="1"/>
      <c r="C83" s="1"/>
      <c r="D83" s="1"/>
      <c r="E83" s="1"/>
      <c r="F83" s="1"/>
      <c r="G83" s="2"/>
      <c r="H83" s="1"/>
      <c r="I83" s="1"/>
    </row>
    <row r="84">
      <c r="A84" s="1"/>
      <c r="B84" s="1"/>
      <c r="C84" s="1"/>
      <c r="D84" s="1"/>
      <c r="E84" s="1"/>
      <c r="F84" s="1"/>
      <c r="G84" s="2"/>
      <c r="H84" s="1"/>
      <c r="I84" s="1"/>
    </row>
    <row r="85">
      <c r="A85" s="1"/>
      <c r="B85" s="1"/>
      <c r="C85" s="1"/>
      <c r="D85" s="1"/>
      <c r="E85" s="1"/>
      <c r="F85" s="1"/>
      <c r="G85" s="2"/>
      <c r="H85" s="1"/>
      <c r="I85" s="1"/>
    </row>
    <row r="86">
      <c r="A86" s="1"/>
      <c r="B86" s="1"/>
      <c r="C86" s="1"/>
      <c r="D86" s="1"/>
      <c r="E86" s="1"/>
      <c r="F86" s="1"/>
      <c r="G86" s="2"/>
      <c r="H86" s="1"/>
      <c r="I86" s="1"/>
    </row>
    <row r="87">
      <c r="A87" s="1"/>
      <c r="B87" s="1"/>
      <c r="C87" s="1"/>
      <c r="D87" s="1"/>
      <c r="E87" s="1"/>
      <c r="F87" s="1"/>
      <c r="G87" s="2"/>
      <c r="H87" s="1"/>
      <c r="I87" s="1"/>
    </row>
    <row r="88">
      <c r="A88" s="1"/>
      <c r="B88" s="1"/>
      <c r="C88" s="1"/>
      <c r="D88" s="1"/>
      <c r="E88" s="1"/>
      <c r="F88" s="1"/>
      <c r="G88" s="2"/>
      <c r="H88" s="1"/>
      <c r="I88" s="1"/>
    </row>
    <row r="89">
      <c r="A89" s="1"/>
      <c r="B89" s="1"/>
      <c r="C89" s="1"/>
      <c r="D89" s="1"/>
      <c r="E89" s="1"/>
      <c r="F89" s="1"/>
      <c r="G89" s="2"/>
      <c r="H89" s="1"/>
      <c r="I89" s="1"/>
    </row>
    <row r="90">
      <c r="A90" s="1"/>
      <c r="B90" s="1"/>
      <c r="C90" s="1"/>
      <c r="D90" s="1"/>
      <c r="E90" s="1"/>
      <c r="F90" s="1"/>
      <c r="G90" s="2"/>
      <c r="H90" s="1"/>
      <c r="I90" s="1"/>
    </row>
    <row r="91">
      <c r="A91" s="1"/>
      <c r="B91" s="1"/>
      <c r="C91" s="1"/>
      <c r="D91" s="1"/>
      <c r="E91" s="1"/>
      <c r="F91" s="1"/>
      <c r="G91" s="2"/>
      <c r="H91" s="1"/>
      <c r="I91" s="1"/>
    </row>
    <row r="92">
      <c r="A92" s="1"/>
      <c r="B92" s="1"/>
      <c r="C92" s="1"/>
      <c r="D92" s="1"/>
      <c r="E92" s="1"/>
      <c r="F92" s="1"/>
      <c r="G92" s="2"/>
      <c r="H92" s="1"/>
      <c r="I92" s="1"/>
    </row>
    <row r="93">
      <c r="A93" s="1"/>
      <c r="B93" s="1"/>
      <c r="C93" s="1"/>
      <c r="D93" s="1"/>
      <c r="E93" s="1"/>
      <c r="F93" s="1"/>
      <c r="G93" s="2"/>
      <c r="H93" s="1"/>
      <c r="I93" s="1"/>
    </row>
    <row r="94">
      <c r="A94" s="1"/>
      <c r="B94" s="1"/>
      <c r="C94" s="1"/>
      <c r="D94" s="1"/>
      <c r="E94" s="1"/>
      <c r="F94" s="1"/>
      <c r="G94" s="2"/>
      <c r="H94" s="1"/>
      <c r="I94" s="1"/>
    </row>
    <row r="95">
      <c r="A95" s="1"/>
      <c r="B95" s="1"/>
      <c r="C95" s="1"/>
      <c r="D95" s="1"/>
      <c r="E95" s="1"/>
      <c r="F95" s="1"/>
      <c r="G95" s="2"/>
      <c r="H95" s="1"/>
      <c r="I95" s="1"/>
    </row>
    <row r="96">
      <c r="A96" s="1"/>
      <c r="B96" s="1"/>
      <c r="C96" s="1"/>
      <c r="D96" s="1"/>
      <c r="E96" s="1"/>
      <c r="F96" s="1"/>
      <c r="G96" s="2"/>
      <c r="H96" s="1"/>
      <c r="I96" s="1"/>
    </row>
    <row r="97">
      <c r="A97" s="1"/>
      <c r="B97" s="1"/>
      <c r="C97" s="1"/>
      <c r="D97" s="1"/>
      <c r="E97" s="1"/>
      <c r="F97" s="1"/>
      <c r="G97" s="2"/>
      <c r="H97" s="1"/>
      <c r="I97" s="1"/>
    </row>
    <row r="98">
      <c r="A98" s="1"/>
      <c r="B98" s="1"/>
      <c r="C98" s="1"/>
      <c r="D98" s="1"/>
      <c r="E98" s="1"/>
      <c r="F98" s="1"/>
      <c r="G98" s="2"/>
      <c r="H98" s="1"/>
      <c r="I98" s="1"/>
    </row>
    <row r="99">
      <c r="A99" s="1"/>
      <c r="B99" s="1"/>
      <c r="C99" s="1"/>
      <c r="D99" s="1"/>
      <c r="E99" s="1"/>
      <c r="F99" s="1"/>
      <c r="G99" s="2"/>
      <c r="H99" s="1"/>
      <c r="I99" s="1"/>
    </row>
    <row r="100">
      <c r="A100" s="1"/>
      <c r="B100" s="1"/>
      <c r="C100" s="1"/>
      <c r="D100" s="1"/>
      <c r="E100" s="1"/>
      <c r="F100" s="1"/>
      <c r="G100" s="2"/>
      <c r="H100" s="1"/>
      <c r="I100" s="1"/>
    </row>
    <row r="101">
      <c r="A101" s="1"/>
      <c r="B101" s="1"/>
      <c r="C101" s="1"/>
      <c r="D101" s="1"/>
      <c r="E101" s="1"/>
      <c r="F101" s="1"/>
      <c r="G101" s="2"/>
      <c r="H101" s="1"/>
      <c r="I101" s="1"/>
    </row>
    <row r="102">
      <c r="A102" s="1"/>
      <c r="B102" s="1"/>
      <c r="C102" s="1"/>
      <c r="D102" s="1"/>
      <c r="E102" s="1"/>
      <c r="F102" s="1"/>
      <c r="G102" s="2"/>
      <c r="H102" s="1"/>
      <c r="I102" s="1"/>
    </row>
    <row r="103">
      <c r="A103" s="1"/>
      <c r="B103" s="1"/>
      <c r="C103" s="1"/>
      <c r="D103" s="1"/>
      <c r="E103" s="1"/>
      <c r="F103" s="1"/>
      <c r="G103" s="2"/>
      <c r="H103" s="1"/>
      <c r="I103" s="1"/>
    </row>
    <row r="104">
      <c r="A104" s="1"/>
      <c r="B104" s="1"/>
      <c r="C104" s="1"/>
      <c r="D104" s="1"/>
      <c r="E104" s="1"/>
      <c r="F104" s="1"/>
      <c r="G104" s="2"/>
      <c r="H104" s="1"/>
      <c r="I104" s="1"/>
    </row>
    <row r="105">
      <c r="A105" s="1"/>
      <c r="B105" s="1"/>
      <c r="C105" s="1"/>
      <c r="D105" s="1"/>
      <c r="E105" s="1"/>
      <c r="F105" s="1"/>
      <c r="G105" s="2"/>
      <c r="H105" s="1"/>
      <c r="I105" s="1"/>
    </row>
    <row r="106">
      <c r="A106" s="1"/>
      <c r="B106" s="1"/>
      <c r="C106" s="1"/>
      <c r="D106" s="1"/>
      <c r="E106" s="1"/>
      <c r="F106" s="1"/>
      <c r="G106" s="2"/>
      <c r="H106" s="1"/>
      <c r="I106" s="1"/>
    </row>
    <row r="107">
      <c r="A107" s="1"/>
      <c r="B107" s="1"/>
      <c r="C107" s="1"/>
      <c r="D107" s="1"/>
      <c r="E107" s="1"/>
      <c r="F107" s="1"/>
      <c r="G107" s="2"/>
      <c r="H107" s="1"/>
      <c r="I107" s="1"/>
    </row>
    <row r="108">
      <c r="A108" s="1"/>
      <c r="B108" s="1"/>
      <c r="C108" s="1"/>
      <c r="D108" s="1"/>
      <c r="E108" s="1"/>
      <c r="F108" s="1"/>
      <c r="G108" s="2"/>
      <c r="H108" s="1"/>
      <c r="I108" s="1"/>
    </row>
    <row r="109">
      <c r="A109" s="1"/>
      <c r="B109" s="1"/>
      <c r="C109" s="1"/>
      <c r="D109" s="1"/>
      <c r="E109" s="1"/>
      <c r="F109" s="1"/>
      <c r="G109" s="2"/>
      <c r="H109" s="1"/>
      <c r="I109" s="1"/>
    </row>
    <row r="110">
      <c r="A110" s="1"/>
      <c r="B110" s="1"/>
      <c r="C110" s="1"/>
      <c r="D110" s="1"/>
      <c r="E110" s="1"/>
      <c r="F110" s="1"/>
      <c r="G110" s="2"/>
      <c r="H110" s="1"/>
      <c r="I110" s="1"/>
    </row>
    <row r="111">
      <c r="A111" s="1"/>
      <c r="B111" s="1"/>
      <c r="C111" s="1"/>
      <c r="D111" s="1"/>
      <c r="E111" s="1"/>
      <c r="F111" s="1"/>
      <c r="G111" s="2"/>
      <c r="H111" s="1"/>
      <c r="I111" s="1"/>
    </row>
    <row r="112">
      <c r="A112" s="1"/>
      <c r="B112" s="1"/>
      <c r="C112" s="1"/>
      <c r="D112" s="1"/>
      <c r="E112" s="1"/>
      <c r="F112" s="1"/>
      <c r="G112" s="2"/>
      <c r="H112" s="1"/>
      <c r="I112" s="1"/>
    </row>
    <row r="113">
      <c r="A113" s="1"/>
      <c r="B113" s="1"/>
      <c r="C113" s="1"/>
      <c r="D113" s="1"/>
      <c r="E113" s="1"/>
      <c r="F113" s="1"/>
      <c r="G113" s="2"/>
      <c r="H113" s="1"/>
      <c r="I113" s="1"/>
    </row>
    <row r="114">
      <c r="A114" s="1"/>
      <c r="B114" s="1"/>
      <c r="C114" s="1"/>
      <c r="D114" s="1"/>
      <c r="E114" s="1"/>
      <c r="F114" s="1"/>
      <c r="G114" s="2"/>
      <c r="H114" s="1"/>
      <c r="I114" s="1"/>
    </row>
    <row r="115">
      <c r="A115" s="1"/>
      <c r="B115" s="1"/>
      <c r="C115" s="1"/>
      <c r="D115" s="1"/>
      <c r="E115" s="1"/>
      <c r="F115" s="1"/>
      <c r="G115" s="2"/>
      <c r="H115" s="1"/>
      <c r="I115" s="1"/>
    </row>
    <row r="116">
      <c r="A116" s="1"/>
      <c r="B116" s="1"/>
      <c r="C116" s="1"/>
      <c r="D116" s="1"/>
      <c r="E116" s="1"/>
      <c r="F116" s="1"/>
      <c r="G116" s="2"/>
      <c r="H116" s="1"/>
      <c r="I116" s="1"/>
    </row>
    <row r="117">
      <c r="A117" s="1"/>
      <c r="B117" s="1"/>
      <c r="C117" s="1"/>
      <c r="D117" s="1"/>
      <c r="E117" s="1"/>
      <c r="F117" s="1"/>
      <c r="G117" s="2"/>
      <c r="H117" s="1"/>
      <c r="I117" s="1"/>
    </row>
    <row r="118">
      <c r="A118" s="1"/>
      <c r="B118" s="1"/>
      <c r="C118" s="1"/>
      <c r="D118" s="1"/>
      <c r="E118" s="1"/>
      <c r="F118" s="1"/>
      <c r="G118" s="2"/>
      <c r="H118" s="1"/>
      <c r="I118" s="1"/>
    </row>
    <row r="119">
      <c r="A119" s="1"/>
      <c r="B119" s="1"/>
      <c r="C119" s="1"/>
      <c r="D119" s="1"/>
      <c r="E119" s="1"/>
      <c r="F119" s="1"/>
      <c r="G119" s="2"/>
      <c r="H119" s="1"/>
      <c r="I119" s="1"/>
    </row>
    <row r="120">
      <c r="A120" s="1"/>
      <c r="B120" s="1"/>
      <c r="C120" s="1"/>
      <c r="D120" s="1"/>
      <c r="E120" s="1"/>
      <c r="F120" s="1"/>
      <c r="G120" s="2"/>
      <c r="H120" s="1"/>
      <c r="I120" s="1"/>
    </row>
    <row r="121">
      <c r="A121" s="1"/>
      <c r="B121" s="1"/>
      <c r="C121" s="1"/>
      <c r="D121" s="1"/>
      <c r="E121" s="1"/>
      <c r="F121" s="1"/>
      <c r="G121" s="2"/>
      <c r="H121" s="1"/>
      <c r="I121" s="1"/>
    </row>
    <row r="122">
      <c r="A122" s="1"/>
      <c r="B122" s="1"/>
      <c r="C122" s="1"/>
      <c r="D122" s="1"/>
      <c r="E122" s="1"/>
      <c r="F122" s="1"/>
      <c r="G122" s="2"/>
      <c r="H122" s="1"/>
      <c r="I122" s="1"/>
    </row>
    <row r="123">
      <c r="A123" s="1"/>
      <c r="B123" s="1"/>
      <c r="C123" s="1"/>
      <c r="D123" s="1"/>
      <c r="E123" s="1"/>
      <c r="F123" s="1"/>
      <c r="G123" s="2"/>
      <c r="H123" s="1"/>
      <c r="I123" s="1"/>
    </row>
    <row r="124">
      <c r="A124" s="1"/>
      <c r="B124" s="1"/>
      <c r="C124" s="1"/>
      <c r="D124" s="1"/>
      <c r="E124" s="1"/>
      <c r="F124" s="1"/>
      <c r="G124" s="2"/>
      <c r="H124" s="1"/>
      <c r="I124" s="1"/>
    </row>
    <row r="125">
      <c r="A125" s="1"/>
      <c r="B125" s="1"/>
      <c r="C125" s="1"/>
      <c r="D125" s="1"/>
      <c r="E125" s="1"/>
      <c r="F125" s="1"/>
      <c r="G125" s="2"/>
      <c r="H125" s="1"/>
      <c r="I125" s="1"/>
    </row>
    <row r="126">
      <c r="A126" s="1"/>
      <c r="B126" s="1"/>
      <c r="C126" s="1"/>
      <c r="D126" s="1"/>
      <c r="E126" s="1"/>
      <c r="F126" s="1"/>
      <c r="G126" s="2"/>
      <c r="H126" s="1"/>
      <c r="I126" s="1"/>
    </row>
    <row r="127">
      <c r="A127" s="1"/>
      <c r="B127" s="1"/>
      <c r="C127" s="1"/>
      <c r="D127" s="1"/>
      <c r="E127" s="1"/>
      <c r="F127" s="1"/>
      <c r="G127" s="2"/>
      <c r="H127" s="1"/>
      <c r="I127" s="1"/>
    </row>
    <row r="128">
      <c r="A128" s="1"/>
      <c r="B128" s="1"/>
      <c r="C128" s="1"/>
      <c r="D128" s="1"/>
      <c r="E128" s="1"/>
      <c r="F128" s="1"/>
      <c r="G128" s="2"/>
      <c r="H128" s="1"/>
      <c r="I128" s="1"/>
    </row>
    <row r="129">
      <c r="G129" s="6"/>
    </row>
    <row r="130">
      <c r="G130" s="6"/>
    </row>
    <row r="131">
      <c r="G131" s="6"/>
    </row>
    <row r="132">
      <c r="G132" s="6"/>
    </row>
    <row r="133">
      <c r="G133" s="6"/>
    </row>
    <row r="134">
      <c r="G134" s="6"/>
    </row>
    <row r="135">
      <c r="G135" s="6"/>
    </row>
    <row r="136">
      <c r="G136" s="6"/>
    </row>
    <row r="137">
      <c r="G137" s="6"/>
    </row>
    <row r="138">
      <c r="G138" s="6"/>
    </row>
    <row r="139">
      <c r="G139" s="6"/>
    </row>
    <row r="140">
      <c r="G140" s="6"/>
    </row>
    <row r="141">
      <c r="G141" s="6"/>
    </row>
    <row r="142">
      <c r="G142" s="6"/>
    </row>
    <row r="143">
      <c r="G143" s="6"/>
    </row>
    <row r="144">
      <c r="G144" s="6"/>
    </row>
    <row r="145">
      <c r="G145" s="6"/>
    </row>
    <row r="146">
      <c r="G146" s="6"/>
    </row>
    <row r="147">
      <c r="G147" s="6"/>
    </row>
    <row r="148">
      <c r="G148" s="6"/>
    </row>
    <row r="149">
      <c r="G149" s="6"/>
    </row>
    <row r="150">
      <c r="G150" s="6"/>
    </row>
    <row r="151">
      <c r="G151" s="6"/>
    </row>
    <row r="152">
      <c r="G152" s="6"/>
    </row>
    <row r="153">
      <c r="G153" s="6"/>
    </row>
    <row r="154">
      <c r="G154" s="6"/>
    </row>
    <row r="155">
      <c r="G155" s="6"/>
    </row>
    <row r="156">
      <c r="G156" s="6"/>
    </row>
    <row r="157">
      <c r="G157" s="6"/>
    </row>
    <row r="158">
      <c r="G158" s="6"/>
    </row>
    <row r="159">
      <c r="G159" s="6"/>
    </row>
    <row r="160">
      <c r="G160" s="6"/>
    </row>
    <row r="161">
      <c r="G161" s="6"/>
    </row>
    <row r="162">
      <c r="G162" s="6"/>
    </row>
    <row r="163">
      <c r="G163" s="6"/>
    </row>
    <row r="164">
      <c r="G164" s="6"/>
    </row>
    <row r="165">
      <c r="G165" s="6"/>
    </row>
    <row r="166">
      <c r="G166" s="6"/>
    </row>
    <row r="167">
      <c r="G167" s="6"/>
    </row>
    <row r="168">
      <c r="G168" s="6"/>
    </row>
    <row r="169">
      <c r="G169" s="6"/>
    </row>
    <row r="170">
      <c r="G170" s="6"/>
    </row>
    <row r="171">
      <c r="G171" s="6"/>
    </row>
    <row r="172">
      <c r="G172" s="6"/>
    </row>
    <row r="173">
      <c r="G173" s="6"/>
    </row>
    <row r="174">
      <c r="G174" s="6"/>
    </row>
    <row r="175">
      <c r="G175" s="6"/>
    </row>
    <row r="176">
      <c r="G176" s="6"/>
    </row>
    <row r="177">
      <c r="G177" s="6"/>
    </row>
    <row r="178">
      <c r="G178" s="6"/>
    </row>
    <row r="179">
      <c r="G179" s="6"/>
    </row>
    <row r="180">
      <c r="G180" s="6"/>
    </row>
    <row r="181">
      <c r="G181" s="6"/>
    </row>
    <row r="182">
      <c r="G182" s="6"/>
    </row>
    <row r="183">
      <c r="G183" s="6"/>
    </row>
    <row r="184">
      <c r="G184" s="6"/>
    </row>
    <row r="185">
      <c r="G185" s="6"/>
    </row>
    <row r="186">
      <c r="G186" s="6"/>
    </row>
    <row r="187">
      <c r="G187" s="6"/>
    </row>
    <row r="188">
      <c r="G188" s="6"/>
    </row>
    <row r="189">
      <c r="G189" s="6"/>
    </row>
    <row r="190">
      <c r="G190" s="6"/>
    </row>
    <row r="191">
      <c r="G191" s="6"/>
    </row>
    <row r="192">
      <c r="G192" s="6"/>
    </row>
    <row r="193">
      <c r="G193" s="6"/>
    </row>
    <row r="194">
      <c r="G194" s="6"/>
    </row>
    <row r="195">
      <c r="G195" s="6"/>
    </row>
    <row r="196">
      <c r="G196" s="6"/>
    </row>
    <row r="197">
      <c r="G197" s="6"/>
    </row>
    <row r="198">
      <c r="G198" s="6"/>
    </row>
    <row r="199">
      <c r="G199" s="6"/>
    </row>
    <row r="200">
      <c r="G200" s="6"/>
    </row>
    <row r="201">
      <c r="G201" s="6"/>
    </row>
    <row r="202">
      <c r="G202" s="6"/>
    </row>
    <row r="203">
      <c r="G203" s="6"/>
    </row>
    <row r="204">
      <c r="G204" s="6"/>
    </row>
    <row r="205">
      <c r="G205" s="6"/>
    </row>
    <row r="206">
      <c r="G206" s="6"/>
    </row>
    <row r="207">
      <c r="G207" s="6"/>
    </row>
    <row r="208">
      <c r="G208" s="6"/>
    </row>
    <row r="209">
      <c r="G209" s="6"/>
    </row>
    <row r="210">
      <c r="G210" s="6"/>
    </row>
    <row r="211">
      <c r="G211" s="6"/>
    </row>
    <row r="212">
      <c r="G212" s="6"/>
    </row>
    <row r="213">
      <c r="G213" s="6"/>
    </row>
    <row r="214">
      <c r="G214" s="6"/>
    </row>
    <row r="215">
      <c r="G215" s="6"/>
    </row>
    <row r="216">
      <c r="G216" s="6"/>
    </row>
    <row r="217">
      <c r="G217" s="6"/>
    </row>
    <row r="218">
      <c r="G218" s="6"/>
    </row>
    <row r="219">
      <c r="G219" s="6"/>
    </row>
    <row r="220">
      <c r="G220" s="6"/>
    </row>
    <row r="221">
      <c r="G221" s="6"/>
    </row>
    <row r="222">
      <c r="G222" s="6"/>
    </row>
    <row r="223">
      <c r="G223" s="6"/>
    </row>
    <row r="224">
      <c r="G224" s="6"/>
    </row>
    <row r="225">
      <c r="G225" s="6"/>
    </row>
    <row r="226">
      <c r="G226" s="6"/>
    </row>
    <row r="227">
      <c r="G227" s="6"/>
    </row>
    <row r="228">
      <c r="G228" s="6"/>
    </row>
    <row r="229">
      <c r="G229" s="6"/>
    </row>
    <row r="230">
      <c r="G230" s="6"/>
    </row>
    <row r="231">
      <c r="G231" s="6"/>
    </row>
    <row r="232">
      <c r="G232" s="6"/>
    </row>
    <row r="233">
      <c r="G233" s="6"/>
    </row>
    <row r="234">
      <c r="G234" s="6"/>
    </row>
    <row r="235">
      <c r="G235" s="6"/>
    </row>
    <row r="236">
      <c r="G236" s="6"/>
    </row>
    <row r="237">
      <c r="G237" s="6"/>
    </row>
    <row r="238">
      <c r="G238" s="6"/>
    </row>
    <row r="239">
      <c r="G239" s="6"/>
    </row>
    <row r="240">
      <c r="G240" s="6"/>
    </row>
    <row r="241">
      <c r="G241" s="6"/>
    </row>
    <row r="242">
      <c r="G242" s="6"/>
    </row>
    <row r="243">
      <c r="G243" s="6"/>
    </row>
    <row r="244">
      <c r="G244" s="6"/>
    </row>
    <row r="245">
      <c r="G245" s="6"/>
    </row>
    <row r="246">
      <c r="G246" s="6"/>
    </row>
    <row r="247">
      <c r="G247" s="6"/>
    </row>
    <row r="248">
      <c r="G248" s="6"/>
    </row>
    <row r="249">
      <c r="G249" s="6"/>
    </row>
    <row r="250">
      <c r="G250" s="6"/>
    </row>
    <row r="251">
      <c r="G251" s="6"/>
    </row>
    <row r="252">
      <c r="G252" s="6"/>
    </row>
    <row r="253">
      <c r="G253" s="6"/>
    </row>
    <row r="254">
      <c r="G254" s="6"/>
    </row>
    <row r="255">
      <c r="G255" s="6"/>
    </row>
    <row r="256">
      <c r="G256" s="6"/>
    </row>
    <row r="257">
      <c r="G257" s="6"/>
    </row>
    <row r="258">
      <c r="G258" s="6"/>
    </row>
    <row r="259">
      <c r="G259" s="6"/>
    </row>
    <row r="260">
      <c r="G260" s="6"/>
    </row>
    <row r="261">
      <c r="G261" s="6"/>
    </row>
    <row r="262">
      <c r="G262" s="6"/>
    </row>
    <row r="263">
      <c r="G263" s="6"/>
    </row>
    <row r="264">
      <c r="G264" s="6"/>
    </row>
    <row r="265">
      <c r="G265" s="6"/>
    </row>
    <row r="266">
      <c r="G266" s="6"/>
    </row>
    <row r="267">
      <c r="G267" s="6"/>
    </row>
    <row r="268">
      <c r="G268" s="6"/>
    </row>
    <row r="269">
      <c r="G269" s="6"/>
    </row>
    <row r="270">
      <c r="G270" s="6"/>
    </row>
    <row r="271">
      <c r="G271" s="6"/>
    </row>
    <row r="272">
      <c r="G272" s="6"/>
    </row>
    <row r="273">
      <c r="G273" s="6"/>
    </row>
    <row r="274">
      <c r="G274" s="6"/>
    </row>
    <row r="275">
      <c r="G275" s="6"/>
    </row>
    <row r="276">
      <c r="G276" s="6"/>
    </row>
    <row r="277">
      <c r="G277" s="6"/>
    </row>
    <row r="278">
      <c r="G278" s="6"/>
    </row>
    <row r="279">
      <c r="G279" s="6"/>
    </row>
    <row r="280">
      <c r="G280" s="6"/>
    </row>
    <row r="281">
      <c r="G281" s="6"/>
    </row>
    <row r="282">
      <c r="G282" s="6"/>
    </row>
    <row r="283">
      <c r="G283" s="6"/>
    </row>
    <row r="284">
      <c r="G284" s="6"/>
    </row>
    <row r="285">
      <c r="G285" s="6"/>
    </row>
    <row r="286">
      <c r="G286" s="6"/>
    </row>
    <row r="287">
      <c r="G287" s="6"/>
    </row>
    <row r="288">
      <c r="G288" s="6"/>
    </row>
    <row r="289">
      <c r="G289" s="6"/>
    </row>
    <row r="290">
      <c r="G290" s="6"/>
    </row>
    <row r="291">
      <c r="G291" s="6"/>
    </row>
    <row r="292">
      <c r="G292" s="6"/>
    </row>
    <row r="293">
      <c r="G293" s="6"/>
    </row>
    <row r="294">
      <c r="G294" s="6"/>
    </row>
    <row r="295">
      <c r="G295" s="6"/>
    </row>
    <row r="296">
      <c r="G296" s="6"/>
    </row>
    <row r="297">
      <c r="G297" s="6"/>
    </row>
    <row r="298">
      <c r="G298" s="6"/>
    </row>
    <row r="299">
      <c r="G299" s="6"/>
    </row>
    <row r="300">
      <c r="G300" s="6"/>
    </row>
    <row r="301">
      <c r="G301" s="6"/>
    </row>
    <row r="302">
      <c r="G302" s="6"/>
    </row>
    <row r="303">
      <c r="G303" s="6"/>
    </row>
    <row r="304">
      <c r="G304" s="6"/>
    </row>
    <row r="305">
      <c r="G305" s="6"/>
    </row>
    <row r="306">
      <c r="G306" s="6"/>
    </row>
    <row r="307">
      <c r="G307" s="6"/>
    </row>
    <row r="308">
      <c r="G308" s="6"/>
    </row>
    <row r="309">
      <c r="G309" s="6"/>
    </row>
    <row r="310">
      <c r="G310" s="6"/>
    </row>
    <row r="311">
      <c r="G311" s="6"/>
    </row>
    <row r="312">
      <c r="G312" s="6"/>
    </row>
    <row r="313">
      <c r="G313" s="6"/>
    </row>
    <row r="314">
      <c r="G314" s="6"/>
    </row>
    <row r="315">
      <c r="G315" s="6"/>
    </row>
    <row r="316">
      <c r="G316" s="6"/>
    </row>
    <row r="317">
      <c r="G317" s="6"/>
    </row>
    <row r="318">
      <c r="G318" s="6"/>
    </row>
    <row r="319">
      <c r="G319" s="6"/>
    </row>
    <row r="320">
      <c r="G320" s="6"/>
    </row>
    <row r="321">
      <c r="G321" s="6"/>
    </row>
    <row r="322">
      <c r="G322" s="6"/>
    </row>
    <row r="323">
      <c r="G323" s="6"/>
    </row>
    <row r="324">
      <c r="G324" s="6"/>
    </row>
    <row r="325">
      <c r="G325" s="6"/>
    </row>
    <row r="326">
      <c r="G326" s="6"/>
    </row>
    <row r="327">
      <c r="G327" s="6"/>
    </row>
    <row r="328">
      <c r="G328" s="6"/>
    </row>
    <row r="329">
      <c r="G329" s="6"/>
    </row>
    <row r="330">
      <c r="G330" s="6"/>
    </row>
    <row r="331">
      <c r="G331" s="6"/>
    </row>
    <row r="332">
      <c r="G332" s="6"/>
    </row>
    <row r="333">
      <c r="G333" s="6"/>
    </row>
    <row r="334">
      <c r="G334" s="6"/>
    </row>
    <row r="335">
      <c r="G335" s="6"/>
    </row>
    <row r="336">
      <c r="G336" s="6"/>
    </row>
    <row r="337">
      <c r="G337" s="6"/>
    </row>
    <row r="338">
      <c r="G338" s="6"/>
    </row>
    <row r="339">
      <c r="G339" s="6"/>
    </row>
    <row r="340">
      <c r="G340" s="6"/>
    </row>
    <row r="341">
      <c r="G341" s="6"/>
    </row>
    <row r="342">
      <c r="G342" s="6"/>
    </row>
    <row r="343">
      <c r="G343" s="6"/>
    </row>
    <row r="344">
      <c r="G344" s="6"/>
    </row>
    <row r="345">
      <c r="G345" s="6"/>
    </row>
    <row r="346">
      <c r="G346" s="6"/>
    </row>
    <row r="347">
      <c r="G347" s="6"/>
    </row>
    <row r="348">
      <c r="G348" s="6"/>
    </row>
    <row r="349">
      <c r="G349" s="6"/>
    </row>
    <row r="350">
      <c r="G350" s="6"/>
    </row>
    <row r="351">
      <c r="G351" s="6"/>
    </row>
    <row r="352">
      <c r="G352" s="6"/>
    </row>
    <row r="353">
      <c r="G353" s="6"/>
    </row>
    <row r="354">
      <c r="G354" s="6"/>
    </row>
    <row r="355">
      <c r="G355" s="6"/>
    </row>
    <row r="356">
      <c r="G356" s="6"/>
    </row>
    <row r="357">
      <c r="G357" s="6"/>
    </row>
    <row r="358">
      <c r="G358" s="6"/>
    </row>
    <row r="359">
      <c r="G359" s="6"/>
    </row>
    <row r="360">
      <c r="G360" s="6"/>
    </row>
    <row r="361">
      <c r="G361" s="6"/>
    </row>
    <row r="362">
      <c r="G362" s="6"/>
    </row>
    <row r="363">
      <c r="G363" s="6"/>
    </row>
    <row r="364">
      <c r="G364" s="6"/>
    </row>
    <row r="365">
      <c r="G365" s="6"/>
    </row>
    <row r="366">
      <c r="G366" s="6"/>
    </row>
    <row r="367">
      <c r="G367" s="6"/>
    </row>
    <row r="368">
      <c r="G368" s="6"/>
    </row>
    <row r="369">
      <c r="G369" s="6"/>
    </row>
    <row r="370">
      <c r="G370" s="6"/>
    </row>
    <row r="371">
      <c r="G371" s="6"/>
    </row>
    <row r="372">
      <c r="G372" s="6"/>
    </row>
    <row r="373">
      <c r="G373" s="6"/>
    </row>
    <row r="374">
      <c r="G374" s="6"/>
    </row>
    <row r="375">
      <c r="G375" s="6"/>
    </row>
    <row r="376">
      <c r="G376" s="6"/>
    </row>
    <row r="377">
      <c r="G377" s="6"/>
    </row>
    <row r="378">
      <c r="G378" s="6"/>
    </row>
    <row r="379">
      <c r="G379" s="6"/>
    </row>
    <row r="380">
      <c r="G380" s="6"/>
    </row>
    <row r="381">
      <c r="G381" s="6"/>
    </row>
    <row r="382">
      <c r="G382" s="6"/>
    </row>
    <row r="383">
      <c r="G383" s="6"/>
    </row>
    <row r="384">
      <c r="G384" s="6"/>
    </row>
    <row r="385">
      <c r="G385" s="6"/>
    </row>
    <row r="386">
      <c r="G386" s="6"/>
    </row>
    <row r="387">
      <c r="G387" s="6"/>
    </row>
    <row r="388">
      <c r="G388" s="6"/>
    </row>
    <row r="389">
      <c r="G389" s="6"/>
    </row>
    <row r="390">
      <c r="G390" s="6"/>
    </row>
    <row r="391">
      <c r="G391" s="6"/>
    </row>
    <row r="392">
      <c r="G392" s="6"/>
    </row>
    <row r="393">
      <c r="G393" s="6"/>
    </row>
    <row r="394">
      <c r="G394" s="6"/>
    </row>
    <row r="395">
      <c r="G395" s="6"/>
    </row>
    <row r="396">
      <c r="G396" s="6"/>
    </row>
    <row r="397">
      <c r="G397" s="6"/>
    </row>
    <row r="398">
      <c r="G398" s="6"/>
    </row>
    <row r="399">
      <c r="G399" s="6"/>
    </row>
    <row r="400">
      <c r="G400" s="6"/>
    </row>
    <row r="401">
      <c r="G401" s="6"/>
    </row>
    <row r="402">
      <c r="G402" s="6"/>
    </row>
    <row r="403">
      <c r="G403" s="6"/>
    </row>
    <row r="404">
      <c r="G404" s="6"/>
    </row>
    <row r="405">
      <c r="G405" s="6"/>
    </row>
    <row r="406">
      <c r="G406" s="6"/>
    </row>
    <row r="407">
      <c r="G407" s="6"/>
    </row>
    <row r="408">
      <c r="G408" s="6"/>
    </row>
    <row r="409">
      <c r="G409" s="6"/>
    </row>
    <row r="410">
      <c r="G410" s="6"/>
    </row>
    <row r="411">
      <c r="G411" s="6"/>
    </row>
    <row r="412">
      <c r="G412" s="6"/>
    </row>
    <row r="413">
      <c r="G413" s="6"/>
    </row>
    <row r="414">
      <c r="G414" s="6"/>
    </row>
    <row r="415">
      <c r="G415" s="6"/>
    </row>
    <row r="416">
      <c r="G416" s="6"/>
    </row>
    <row r="417">
      <c r="G417" s="6"/>
    </row>
    <row r="418">
      <c r="G418" s="6"/>
    </row>
    <row r="419">
      <c r="G419" s="6"/>
    </row>
    <row r="420">
      <c r="G420" s="6"/>
    </row>
    <row r="421">
      <c r="G421" s="6"/>
    </row>
    <row r="422">
      <c r="G422" s="6"/>
    </row>
    <row r="423">
      <c r="G423" s="6"/>
    </row>
    <row r="424">
      <c r="G424" s="6"/>
    </row>
    <row r="425">
      <c r="G425" s="6"/>
    </row>
    <row r="426">
      <c r="G426" s="6"/>
    </row>
    <row r="427">
      <c r="G427" s="6"/>
    </row>
    <row r="428">
      <c r="G428" s="6"/>
    </row>
    <row r="429">
      <c r="G429" s="6"/>
    </row>
    <row r="430">
      <c r="G430" s="6"/>
    </row>
    <row r="431">
      <c r="G431" s="6"/>
    </row>
    <row r="432">
      <c r="G432" s="6"/>
    </row>
    <row r="433">
      <c r="G433" s="6"/>
    </row>
    <row r="434">
      <c r="G434" s="6"/>
    </row>
    <row r="435">
      <c r="G435" s="6"/>
    </row>
    <row r="436">
      <c r="G436" s="6"/>
    </row>
    <row r="437">
      <c r="G437" s="6"/>
    </row>
    <row r="438">
      <c r="G438" s="6"/>
    </row>
    <row r="439">
      <c r="G439" s="6"/>
    </row>
    <row r="440">
      <c r="G440" s="6"/>
    </row>
    <row r="441">
      <c r="G441" s="6"/>
    </row>
    <row r="442">
      <c r="G442" s="6"/>
    </row>
    <row r="443">
      <c r="G443" s="6"/>
    </row>
    <row r="444">
      <c r="G444" s="6"/>
    </row>
    <row r="445">
      <c r="G445" s="6"/>
    </row>
    <row r="446">
      <c r="G446" s="6"/>
    </row>
    <row r="447">
      <c r="G447" s="6"/>
    </row>
    <row r="448">
      <c r="G448" s="6"/>
    </row>
    <row r="449">
      <c r="G449" s="6"/>
    </row>
    <row r="450">
      <c r="G450" s="6"/>
    </row>
    <row r="451">
      <c r="G451" s="6"/>
    </row>
    <row r="452">
      <c r="G452" s="6"/>
    </row>
    <row r="453">
      <c r="G453" s="6"/>
    </row>
    <row r="454">
      <c r="G454" s="6"/>
    </row>
    <row r="455">
      <c r="G455" s="6"/>
    </row>
    <row r="456">
      <c r="G456" s="6"/>
    </row>
    <row r="457">
      <c r="G457" s="6"/>
    </row>
    <row r="458">
      <c r="G458" s="6"/>
    </row>
    <row r="459">
      <c r="G459" s="6"/>
    </row>
    <row r="460">
      <c r="G460" s="6"/>
    </row>
    <row r="461">
      <c r="G461" s="6"/>
    </row>
    <row r="462">
      <c r="G462" s="6"/>
    </row>
    <row r="463">
      <c r="G463" s="6"/>
    </row>
    <row r="464">
      <c r="G464" s="6"/>
    </row>
    <row r="465">
      <c r="G465" s="6"/>
    </row>
    <row r="466">
      <c r="G466" s="6"/>
    </row>
    <row r="467">
      <c r="G467" s="6"/>
    </row>
    <row r="468">
      <c r="G468" s="6"/>
    </row>
    <row r="469">
      <c r="G469" s="6"/>
    </row>
    <row r="470">
      <c r="G470" s="6"/>
    </row>
    <row r="471">
      <c r="G471" s="6"/>
    </row>
    <row r="472">
      <c r="G472" s="6"/>
    </row>
    <row r="473">
      <c r="G473" s="6"/>
    </row>
    <row r="474">
      <c r="G474" s="6"/>
    </row>
    <row r="475">
      <c r="G475" s="6"/>
    </row>
    <row r="476">
      <c r="G476" s="6"/>
    </row>
    <row r="477">
      <c r="G477" s="6"/>
    </row>
    <row r="478">
      <c r="G478" s="6"/>
    </row>
    <row r="479">
      <c r="G479" s="6"/>
    </row>
    <row r="480">
      <c r="G480" s="6"/>
    </row>
    <row r="481">
      <c r="G481" s="6"/>
    </row>
    <row r="482">
      <c r="G482" s="6"/>
    </row>
    <row r="483">
      <c r="G483" s="6"/>
    </row>
    <row r="484">
      <c r="G484" s="6"/>
    </row>
    <row r="485">
      <c r="G485" s="6"/>
    </row>
    <row r="486">
      <c r="G486" s="6"/>
    </row>
    <row r="487">
      <c r="G487" s="6"/>
    </row>
    <row r="488">
      <c r="G488" s="6"/>
    </row>
    <row r="489">
      <c r="G489" s="6"/>
    </row>
    <row r="490">
      <c r="G490" s="6"/>
    </row>
    <row r="491">
      <c r="G491" s="6"/>
    </row>
    <row r="492">
      <c r="G492" s="6"/>
    </row>
    <row r="493">
      <c r="G493" s="6"/>
    </row>
    <row r="494">
      <c r="G494" s="6"/>
    </row>
    <row r="495">
      <c r="G495" s="6"/>
    </row>
    <row r="496">
      <c r="G496" s="6"/>
    </row>
    <row r="497">
      <c r="G497" s="6"/>
    </row>
    <row r="498">
      <c r="G498" s="6"/>
    </row>
    <row r="499">
      <c r="G499" s="6"/>
    </row>
    <row r="500">
      <c r="G500" s="6"/>
    </row>
    <row r="501">
      <c r="G501" s="6"/>
    </row>
    <row r="502">
      <c r="G502" s="6"/>
    </row>
    <row r="503">
      <c r="G503" s="6"/>
    </row>
    <row r="504">
      <c r="G504" s="6"/>
    </row>
    <row r="505">
      <c r="G505" s="6"/>
    </row>
    <row r="506">
      <c r="G506" s="6"/>
    </row>
    <row r="507">
      <c r="G507" s="6"/>
    </row>
    <row r="508">
      <c r="G508" s="6"/>
    </row>
    <row r="509">
      <c r="G509" s="6"/>
    </row>
    <row r="510">
      <c r="G510" s="6"/>
    </row>
    <row r="511">
      <c r="G511" s="6"/>
    </row>
    <row r="512">
      <c r="G512" s="6"/>
    </row>
    <row r="513">
      <c r="G513" s="6"/>
    </row>
    <row r="514">
      <c r="G514" s="6"/>
    </row>
    <row r="515">
      <c r="G515" s="6"/>
    </row>
    <row r="516">
      <c r="G516" s="6"/>
    </row>
    <row r="517">
      <c r="G517" s="6"/>
    </row>
    <row r="518">
      <c r="G518" s="6"/>
    </row>
    <row r="519">
      <c r="G519" s="6"/>
    </row>
    <row r="520">
      <c r="G520" s="6"/>
    </row>
    <row r="521">
      <c r="G521" s="6"/>
    </row>
    <row r="522">
      <c r="G522" s="6"/>
    </row>
    <row r="523">
      <c r="G523" s="6"/>
    </row>
    <row r="524">
      <c r="G524" s="6"/>
    </row>
    <row r="525">
      <c r="G525" s="6"/>
    </row>
    <row r="526">
      <c r="G526" s="6"/>
    </row>
    <row r="527">
      <c r="G527" s="6"/>
    </row>
    <row r="528">
      <c r="G528" s="6"/>
    </row>
    <row r="529">
      <c r="G529" s="6"/>
    </row>
    <row r="530">
      <c r="G530" s="6"/>
    </row>
    <row r="531">
      <c r="G531" s="6"/>
    </row>
    <row r="532">
      <c r="G532" s="6"/>
    </row>
    <row r="533">
      <c r="G533" s="6"/>
    </row>
    <row r="534">
      <c r="G534" s="6"/>
    </row>
    <row r="535">
      <c r="G535" s="6"/>
    </row>
    <row r="536">
      <c r="G536" s="6"/>
    </row>
    <row r="537">
      <c r="G537" s="6"/>
    </row>
    <row r="538">
      <c r="G538" s="6"/>
    </row>
    <row r="539">
      <c r="G539" s="6"/>
    </row>
    <row r="540">
      <c r="G540" s="6"/>
    </row>
    <row r="541">
      <c r="G541" s="6"/>
    </row>
    <row r="542">
      <c r="G542" s="6"/>
    </row>
    <row r="543">
      <c r="G543" s="6"/>
    </row>
    <row r="544">
      <c r="G544" s="6"/>
    </row>
    <row r="545">
      <c r="G545" s="6"/>
    </row>
    <row r="546">
      <c r="G546" s="6"/>
    </row>
    <row r="547">
      <c r="G547" s="6"/>
    </row>
    <row r="548">
      <c r="G548" s="6"/>
    </row>
    <row r="549">
      <c r="G549" s="6"/>
    </row>
    <row r="550">
      <c r="G550" s="6"/>
    </row>
    <row r="551">
      <c r="G551" s="6"/>
    </row>
    <row r="552">
      <c r="G552" s="6"/>
    </row>
    <row r="553">
      <c r="G553" s="6"/>
    </row>
    <row r="554">
      <c r="G554" s="6"/>
    </row>
    <row r="555">
      <c r="G555" s="6"/>
    </row>
    <row r="556">
      <c r="G556" s="6"/>
    </row>
    <row r="557">
      <c r="G557" s="6"/>
    </row>
    <row r="558">
      <c r="G558" s="6"/>
    </row>
    <row r="559">
      <c r="G559" s="6"/>
    </row>
    <row r="560">
      <c r="G560" s="6"/>
    </row>
    <row r="561">
      <c r="G561" s="6"/>
    </row>
    <row r="562">
      <c r="G562" s="6"/>
    </row>
    <row r="563">
      <c r="G563" s="6"/>
    </row>
    <row r="564">
      <c r="G564" s="6"/>
    </row>
    <row r="565">
      <c r="G565" s="6"/>
    </row>
    <row r="566">
      <c r="G566" s="6"/>
    </row>
    <row r="567">
      <c r="G567" s="6"/>
    </row>
    <row r="568">
      <c r="G568" s="6"/>
    </row>
    <row r="569">
      <c r="G569" s="6"/>
    </row>
    <row r="570">
      <c r="G570" s="6"/>
    </row>
    <row r="571">
      <c r="G571" s="6"/>
    </row>
    <row r="572">
      <c r="G572" s="6"/>
    </row>
    <row r="573">
      <c r="G573" s="6"/>
    </row>
    <row r="574">
      <c r="G574" s="6"/>
    </row>
    <row r="575">
      <c r="G575" s="6"/>
    </row>
    <row r="576">
      <c r="G576" s="6"/>
    </row>
    <row r="577">
      <c r="G577" s="6"/>
    </row>
    <row r="578">
      <c r="G578" s="6"/>
    </row>
    <row r="579">
      <c r="G579" s="6"/>
    </row>
    <row r="580">
      <c r="G580" s="6"/>
    </row>
    <row r="581">
      <c r="G581" s="6"/>
    </row>
    <row r="582">
      <c r="G582" s="6"/>
    </row>
    <row r="583">
      <c r="G583" s="6"/>
    </row>
    <row r="584">
      <c r="G584" s="6"/>
    </row>
    <row r="585">
      <c r="G585" s="6"/>
    </row>
    <row r="586">
      <c r="G586" s="6"/>
    </row>
    <row r="587">
      <c r="G587" s="6"/>
    </row>
    <row r="588">
      <c r="G588" s="6"/>
    </row>
    <row r="589">
      <c r="G589" s="6"/>
    </row>
    <row r="590">
      <c r="G590" s="6"/>
    </row>
    <row r="591">
      <c r="G591" s="6"/>
    </row>
    <row r="592">
      <c r="G592" s="6"/>
    </row>
    <row r="593">
      <c r="G593" s="6"/>
    </row>
    <row r="594">
      <c r="G594" s="6"/>
    </row>
    <row r="595">
      <c r="G595" s="6"/>
    </row>
    <row r="596">
      <c r="G596" s="6"/>
    </row>
    <row r="597">
      <c r="G597" s="6"/>
    </row>
    <row r="598">
      <c r="G598" s="6"/>
    </row>
    <row r="599">
      <c r="G599" s="6"/>
    </row>
    <row r="600">
      <c r="G600" s="6"/>
    </row>
    <row r="601">
      <c r="G601" s="6"/>
    </row>
    <row r="602">
      <c r="G602" s="6"/>
    </row>
    <row r="603">
      <c r="G603" s="6"/>
    </row>
    <row r="604">
      <c r="G604" s="6"/>
    </row>
    <row r="605">
      <c r="G605" s="6"/>
    </row>
    <row r="606">
      <c r="G606" s="6"/>
    </row>
    <row r="607">
      <c r="G607" s="6"/>
    </row>
    <row r="608">
      <c r="G608" s="6"/>
    </row>
    <row r="609">
      <c r="G609" s="6"/>
    </row>
    <row r="610">
      <c r="G610" s="6"/>
    </row>
    <row r="611">
      <c r="G611" s="6"/>
    </row>
    <row r="612">
      <c r="G612" s="6"/>
    </row>
    <row r="613">
      <c r="G613" s="6"/>
    </row>
    <row r="614">
      <c r="G614" s="6"/>
    </row>
    <row r="615">
      <c r="G615" s="6"/>
    </row>
    <row r="616">
      <c r="G616" s="6"/>
    </row>
    <row r="617">
      <c r="G617" s="6"/>
    </row>
    <row r="618">
      <c r="G618" s="6"/>
    </row>
    <row r="619">
      <c r="G619" s="6"/>
    </row>
    <row r="620">
      <c r="G620" s="6"/>
    </row>
    <row r="621">
      <c r="G621" s="6"/>
    </row>
    <row r="622">
      <c r="G622" s="6"/>
    </row>
    <row r="623">
      <c r="G623" s="6"/>
    </row>
    <row r="624">
      <c r="G624" s="6"/>
    </row>
    <row r="625">
      <c r="G625" s="6"/>
    </row>
    <row r="626">
      <c r="G626" s="6"/>
    </row>
    <row r="627">
      <c r="G627" s="6"/>
    </row>
    <row r="628">
      <c r="G628" s="6"/>
    </row>
    <row r="629">
      <c r="G629" s="6"/>
    </row>
    <row r="630">
      <c r="G630" s="6"/>
    </row>
    <row r="631">
      <c r="G631" s="6"/>
    </row>
    <row r="632">
      <c r="G632" s="6"/>
    </row>
    <row r="633">
      <c r="G633" s="6"/>
    </row>
    <row r="634">
      <c r="G634" s="6"/>
    </row>
    <row r="635">
      <c r="G635" s="6"/>
    </row>
    <row r="636">
      <c r="G636" s="6"/>
    </row>
    <row r="637">
      <c r="G637" s="6"/>
    </row>
    <row r="638">
      <c r="G638" s="6"/>
    </row>
    <row r="639">
      <c r="G639" s="6"/>
    </row>
    <row r="640">
      <c r="G640" s="6"/>
    </row>
    <row r="641">
      <c r="G641" s="6"/>
    </row>
    <row r="642">
      <c r="G642" s="6"/>
    </row>
    <row r="643">
      <c r="G643" s="6"/>
    </row>
    <row r="644">
      <c r="G644" s="6"/>
    </row>
    <row r="645">
      <c r="G645" s="6"/>
    </row>
    <row r="646">
      <c r="G646" s="6"/>
    </row>
    <row r="647">
      <c r="G647" s="6"/>
    </row>
    <row r="648">
      <c r="G648" s="6"/>
    </row>
    <row r="649">
      <c r="G649" s="6"/>
    </row>
    <row r="650">
      <c r="G650" s="6"/>
    </row>
    <row r="651">
      <c r="G651" s="6"/>
    </row>
    <row r="652">
      <c r="G652" s="6"/>
    </row>
    <row r="653">
      <c r="G653" s="6"/>
    </row>
    <row r="654">
      <c r="G654" s="6"/>
    </row>
    <row r="655">
      <c r="G655" s="6"/>
    </row>
    <row r="656">
      <c r="G656" s="6"/>
    </row>
    <row r="657">
      <c r="G657" s="6"/>
    </row>
    <row r="658">
      <c r="G658" s="6"/>
    </row>
    <row r="659">
      <c r="G659" s="6"/>
    </row>
    <row r="660">
      <c r="G660" s="6"/>
    </row>
    <row r="661">
      <c r="G661" s="6"/>
    </row>
    <row r="662">
      <c r="G662" s="6"/>
    </row>
    <row r="663">
      <c r="G663" s="6"/>
    </row>
    <row r="664">
      <c r="G664" s="6"/>
    </row>
    <row r="665">
      <c r="G665" s="6"/>
    </row>
    <row r="666">
      <c r="G666" s="6"/>
    </row>
    <row r="667">
      <c r="G667" s="6"/>
    </row>
    <row r="668">
      <c r="G668" s="6"/>
    </row>
    <row r="669">
      <c r="G669" s="6"/>
    </row>
    <row r="670">
      <c r="G670" s="6"/>
    </row>
    <row r="671">
      <c r="G671" s="6"/>
    </row>
    <row r="672">
      <c r="G672" s="6"/>
    </row>
    <row r="673">
      <c r="G673" s="6"/>
    </row>
    <row r="674">
      <c r="G674" s="6"/>
    </row>
    <row r="675">
      <c r="G675" s="6"/>
    </row>
    <row r="676">
      <c r="G676" s="6"/>
    </row>
    <row r="677">
      <c r="G677" s="6"/>
    </row>
    <row r="678">
      <c r="G678" s="6"/>
    </row>
    <row r="679">
      <c r="G679" s="6"/>
    </row>
    <row r="680">
      <c r="G680" s="6"/>
    </row>
    <row r="681">
      <c r="G681" s="6"/>
    </row>
    <row r="682">
      <c r="G682" s="6"/>
    </row>
    <row r="683">
      <c r="G683" s="6"/>
    </row>
    <row r="684">
      <c r="G684" s="6"/>
    </row>
    <row r="685">
      <c r="G685" s="6"/>
    </row>
    <row r="686">
      <c r="G686" s="6"/>
    </row>
    <row r="687">
      <c r="G687" s="6"/>
    </row>
    <row r="688">
      <c r="G688" s="6"/>
    </row>
    <row r="689">
      <c r="G689" s="6"/>
    </row>
    <row r="690">
      <c r="G690" s="6"/>
    </row>
    <row r="691">
      <c r="G691" s="6"/>
    </row>
    <row r="692">
      <c r="G692" s="6"/>
    </row>
    <row r="693">
      <c r="G693" s="6"/>
    </row>
    <row r="694">
      <c r="G694" s="6"/>
    </row>
    <row r="695">
      <c r="G695" s="6"/>
    </row>
    <row r="696">
      <c r="G696" s="6"/>
    </row>
    <row r="697">
      <c r="G697" s="6"/>
    </row>
    <row r="698">
      <c r="G698" s="6"/>
    </row>
    <row r="699">
      <c r="G699" s="6"/>
    </row>
    <row r="700">
      <c r="G700" s="6"/>
    </row>
    <row r="701">
      <c r="G701" s="6"/>
    </row>
    <row r="702">
      <c r="G702" s="6"/>
    </row>
    <row r="703">
      <c r="G703" s="6"/>
    </row>
    <row r="704">
      <c r="G704" s="6"/>
    </row>
    <row r="705">
      <c r="G705" s="6"/>
    </row>
    <row r="706">
      <c r="G706" s="6"/>
    </row>
    <row r="707">
      <c r="G707" s="6"/>
    </row>
    <row r="708">
      <c r="G708" s="6"/>
    </row>
    <row r="709">
      <c r="G709" s="6"/>
    </row>
    <row r="710">
      <c r="G710" s="6"/>
    </row>
    <row r="711">
      <c r="G711" s="6"/>
    </row>
    <row r="712">
      <c r="G712" s="6"/>
    </row>
    <row r="713">
      <c r="G713" s="6"/>
    </row>
    <row r="714">
      <c r="G714" s="6"/>
    </row>
    <row r="715">
      <c r="G715" s="6"/>
    </row>
    <row r="716">
      <c r="G716" s="6"/>
    </row>
    <row r="717">
      <c r="G717" s="6"/>
    </row>
    <row r="718">
      <c r="G718" s="6"/>
    </row>
    <row r="719">
      <c r="G719" s="6"/>
    </row>
    <row r="720">
      <c r="G720" s="6"/>
    </row>
    <row r="721">
      <c r="G721" s="6"/>
    </row>
    <row r="722">
      <c r="G722" s="6"/>
    </row>
    <row r="723">
      <c r="G723" s="6"/>
    </row>
    <row r="724">
      <c r="G724" s="6"/>
    </row>
    <row r="725">
      <c r="G725" s="6"/>
    </row>
    <row r="726">
      <c r="G726" s="6"/>
    </row>
    <row r="727">
      <c r="G727" s="6"/>
    </row>
    <row r="728">
      <c r="G728" s="6"/>
    </row>
    <row r="729">
      <c r="G729" s="6"/>
    </row>
    <row r="730">
      <c r="G730" s="6"/>
    </row>
    <row r="731">
      <c r="G731" s="6"/>
    </row>
    <row r="732">
      <c r="G732" s="6"/>
    </row>
    <row r="733">
      <c r="G733" s="6"/>
    </row>
    <row r="734">
      <c r="G734" s="6"/>
    </row>
    <row r="735">
      <c r="G735" s="6"/>
    </row>
    <row r="736">
      <c r="G736" s="6"/>
    </row>
    <row r="737">
      <c r="G737" s="6"/>
    </row>
    <row r="738">
      <c r="G738" s="6"/>
    </row>
    <row r="739">
      <c r="G739" s="6"/>
    </row>
    <row r="740">
      <c r="G740" s="6"/>
    </row>
    <row r="741">
      <c r="G741" s="6"/>
    </row>
    <row r="742">
      <c r="G742" s="6"/>
    </row>
    <row r="743">
      <c r="G743" s="6"/>
    </row>
    <row r="744">
      <c r="G744" s="6"/>
    </row>
    <row r="745">
      <c r="G745" s="6"/>
    </row>
    <row r="746">
      <c r="G746" s="6"/>
    </row>
    <row r="747">
      <c r="G747" s="6"/>
    </row>
    <row r="748">
      <c r="G748" s="6"/>
    </row>
    <row r="749">
      <c r="G749" s="6"/>
    </row>
    <row r="750">
      <c r="G750" s="6"/>
    </row>
    <row r="751">
      <c r="G751" s="6"/>
    </row>
    <row r="752">
      <c r="G752" s="6"/>
    </row>
    <row r="753">
      <c r="G753" s="6"/>
    </row>
    <row r="754">
      <c r="G754" s="6"/>
    </row>
    <row r="755">
      <c r="G755" s="6"/>
    </row>
    <row r="756">
      <c r="G756" s="6"/>
    </row>
    <row r="757">
      <c r="G757" s="6"/>
    </row>
    <row r="758">
      <c r="G758" s="6"/>
    </row>
    <row r="759">
      <c r="G759" s="6"/>
    </row>
    <row r="760">
      <c r="G760" s="6"/>
    </row>
    <row r="761">
      <c r="G761" s="6"/>
    </row>
    <row r="762">
      <c r="G762" s="6"/>
    </row>
    <row r="763">
      <c r="G763" s="6"/>
    </row>
    <row r="764">
      <c r="G764" s="6"/>
    </row>
    <row r="765">
      <c r="G765" s="6"/>
    </row>
    <row r="766">
      <c r="G766" s="6"/>
    </row>
    <row r="767">
      <c r="G767" s="6"/>
    </row>
    <row r="768">
      <c r="G768" s="6"/>
    </row>
    <row r="769">
      <c r="G769" s="6"/>
    </row>
    <row r="770">
      <c r="G770" s="6"/>
    </row>
    <row r="771">
      <c r="G771" s="6"/>
    </row>
    <row r="772">
      <c r="G772" s="6"/>
    </row>
    <row r="773">
      <c r="G773" s="6"/>
    </row>
    <row r="774">
      <c r="G774" s="6"/>
    </row>
    <row r="775">
      <c r="G775" s="6"/>
    </row>
    <row r="776">
      <c r="G776" s="6"/>
    </row>
    <row r="777">
      <c r="G777" s="6"/>
    </row>
    <row r="778">
      <c r="G778" s="6"/>
    </row>
    <row r="779">
      <c r="G779" s="6"/>
    </row>
    <row r="780">
      <c r="G780" s="6"/>
    </row>
    <row r="781">
      <c r="G781" s="6"/>
    </row>
    <row r="782">
      <c r="G782" s="6"/>
    </row>
    <row r="783">
      <c r="G783" s="6"/>
    </row>
    <row r="784">
      <c r="G784" s="6"/>
    </row>
    <row r="785">
      <c r="G785" s="6"/>
    </row>
    <row r="786">
      <c r="G786" s="6"/>
    </row>
    <row r="787">
      <c r="G787" s="6"/>
    </row>
    <row r="788">
      <c r="G788" s="6"/>
    </row>
    <row r="789">
      <c r="G789" s="6"/>
    </row>
    <row r="790">
      <c r="G790" s="6"/>
    </row>
    <row r="791">
      <c r="G791" s="6"/>
    </row>
    <row r="792">
      <c r="G792" s="6"/>
    </row>
    <row r="793">
      <c r="G793" s="6"/>
    </row>
    <row r="794">
      <c r="G794" s="6"/>
    </row>
    <row r="795">
      <c r="G795" s="6"/>
    </row>
    <row r="796">
      <c r="G796" s="6"/>
    </row>
    <row r="797">
      <c r="G797" s="6"/>
    </row>
    <row r="798">
      <c r="G798" s="6"/>
    </row>
    <row r="799">
      <c r="G799" s="6"/>
    </row>
    <row r="800">
      <c r="G800" s="6"/>
    </row>
    <row r="801">
      <c r="G801" s="6"/>
    </row>
    <row r="802">
      <c r="G802" s="6"/>
    </row>
    <row r="803">
      <c r="G803" s="6"/>
    </row>
    <row r="804">
      <c r="G804" s="6"/>
    </row>
    <row r="805">
      <c r="G805" s="6"/>
    </row>
    <row r="806">
      <c r="G806" s="6"/>
    </row>
    <row r="807">
      <c r="G807" s="6"/>
    </row>
    <row r="808">
      <c r="G808" s="6"/>
    </row>
    <row r="809">
      <c r="G809" s="6"/>
    </row>
    <row r="810">
      <c r="G810" s="6"/>
    </row>
    <row r="811">
      <c r="G811" s="6"/>
    </row>
    <row r="812">
      <c r="G812" s="6"/>
    </row>
    <row r="813">
      <c r="G813" s="6"/>
    </row>
    <row r="814">
      <c r="G814" s="6"/>
    </row>
    <row r="815">
      <c r="G815" s="6"/>
    </row>
    <row r="816">
      <c r="G816" s="6"/>
    </row>
    <row r="817">
      <c r="G817" s="6"/>
    </row>
    <row r="818">
      <c r="G818" s="6"/>
    </row>
    <row r="819">
      <c r="G819" s="6"/>
    </row>
    <row r="820">
      <c r="G820" s="6"/>
    </row>
    <row r="821">
      <c r="G821" s="6"/>
    </row>
    <row r="822">
      <c r="G822" s="6"/>
    </row>
    <row r="823">
      <c r="G823" s="6"/>
    </row>
    <row r="824">
      <c r="G824" s="6"/>
    </row>
    <row r="825">
      <c r="G825" s="6"/>
    </row>
    <row r="826">
      <c r="G826" s="6"/>
    </row>
    <row r="827">
      <c r="G827" s="6"/>
    </row>
    <row r="828">
      <c r="G828" s="6"/>
    </row>
    <row r="829">
      <c r="G829" s="6"/>
    </row>
    <row r="830">
      <c r="G830" s="6"/>
    </row>
    <row r="831">
      <c r="G831" s="6"/>
    </row>
    <row r="832">
      <c r="G832" s="6"/>
    </row>
    <row r="833">
      <c r="G833" s="6"/>
    </row>
    <row r="834">
      <c r="G834" s="6"/>
    </row>
    <row r="835">
      <c r="G835" s="6"/>
    </row>
    <row r="836">
      <c r="G836" s="6"/>
    </row>
    <row r="837">
      <c r="G837" s="6"/>
    </row>
    <row r="838">
      <c r="G838" s="6"/>
    </row>
    <row r="839">
      <c r="G839" s="6"/>
    </row>
    <row r="840">
      <c r="G840" s="6"/>
    </row>
    <row r="841">
      <c r="G841" s="6"/>
    </row>
    <row r="842">
      <c r="G842" s="6"/>
    </row>
    <row r="843">
      <c r="G843" s="6"/>
    </row>
    <row r="844">
      <c r="G844" s="6"/>
    </row>
    <row r="845">
      <c r="G845" s="6"/>
    </row>
    <row r="846">
      <c r="G846" s="6"/>
    </row>
    <row r="847">
      <c r="G847" s="6"/>
    </row>
    <row r="848">
      <c r="G848" s="6"/>
    </row>
    <row r="849">
      <c r="G849" s="6"/>
    </row>
    <row r="850">
      <c r="G850" s="6"/>
    </row>
    <row r="851">
      <c r="G851" s="6"/>
    </row>
    <row r="852">
      <c r="G852" s="6"/>
    </row>
    <row r="853">
      <c r="G853" s="6"/>
    </row>
    <row r="854">
      <c r="G854" s="6"/>
    </row>
    <row r="855">
      <c r="G855" s="6"/>
    </row>
    <row r="856">
      <c r="G856" s="6"/>
    </row>
    <row r="857">
      <c r="G857" s="6"/>
    </row>
    <row r="858">
      <c r="G858" s="6"/>
    </row>
    <row r="859">
      <c r="G859" s="6"/>
    </row>
    <row r="860">
      <c r="G860" s="6"/>
    </row>
    <row r="861">
      <c r="G861" s="6"/>
    </row>
    <row r="862">
      <c r="G862" s="6"/>
    </row>
    <row r="863">
      <c r="G863" s="6"/>
    </row>
    <row r="864">
      <c r="G864" s="6"/>
    </row>
    <row r="865">
      <c r="G865" s="6"/>
    </row>
    <row r="866">
      <c r="G866" s="6"/>
    </row>
    <row r="867">
      <c r="G867" s="6"/>
    </row>
    <row r="868">
      <c r="G868" s="6"/>
    </row>
    <row r="869">
      <c r="G869" s="6"/>
    </row>
    <row r="870">
      <c r="G870" s="6"/>
    </row>
    <row r="871">
      <c r="G871" s="6"/>
    </row>
    <row r="872">
      <c r="G872" s="6"/>
    </row>
    <row r="873">
      <c r="G873" s="6"/>
    </row>
    <row r="874">
      <c r="G874" s="6"/>
    </row>
    <row r="875">
      <c r="G875" s="6"/>
    </row>
    <row r="876">
      <c r="G876" s="6"/>
    </row>
    <row r="877">
      <c r="G877" s="6"/>
    </row>
    <row r="878">
      <c r="G878" s="6"/>
    </row>
    <row r="879">
      <c r="G879" s="6"/>
    </row>
    <row r="880">
      <c r="G880" s="6"/>
    </row>
    <row r="881">
      <c r="G881" s="6"/>
    </row>
    <row r="882">
      <c r="G882" s="6"/>
    </row>
    <row r="883">
      <c r="G883" s="6"/>
    </row>
    <row r="884">
      <c r="G884" s="6"/>
    </row>
    <row r="885">
      <c r="G885" s="6"/>
    </row>
    <row r="886">
      <c r="G886" s="6"/>
    </row>
    <row r="887">
      <c r="G887" s="6"/>
    </row>
    <row r="888">
      <c r="G888" s="6"/>
    </row>
    <row r="889">
      <c r="G889" s="6"/>
    </row>
    <row r="890">
      <c r="G890" s="6"/>
    </row>
    <row r="891">
      <c r="G891" s="6"/>
    </row>
    <row r="892">
      <c r="G892" s="6"/>
    </row>
    <row r="893">
      <c r="G893" s="6"/>
    </row>
    <row r="894">
      <c r="G894" s="6"/>
    </row>
    <row r="895">
      <c r="G895" s="6"/>
    </row>
    <row r="896">
      <c r="G896" s="6"/>
    </row>
    <row r="897">
      <c r="G897" s="6"/>
    </row>
    <row r="898">
      <c r="G898" s="6"/>
    </row>
    <row r="899">
      <c r="G899" s="6"/>
    </row>
    <row r="900">
      <c r="G900" s="6"/>
    </row>
    <row r="901">
      <c r="G901" s="6"/>
    </row>
    <row r="902">
      <c r="G902" s="6"/>
    </row>
    <row r="903">
      <c r="G903" s="6"/>
    </row>
    <row r="904">
      <c r="G904" s="6"/>
    </row>
    <row r="905">
      <c r="G905" s="6"/>
    </row>
    <row r="906">
      <c r="G906" s="6"/>
    </row>
    <row r="907">
      <c r="G907" s="6"/>
    </row>
    <row r="908">
      <c r="G908" s="6"/>
    </row>
    <row r="909">
      <c r="G909" s="6"/>
    </row>
    <row r="910">
      <c r="G910" s="6"/>
    </row>
    <row r="911">
      <c r="G911" s="6"/>
    </row>
    <row r="912">
      <c r="G912" s="6"/>
    </row>
    <row r="913">
      <c r="G913" s="6"/>
    </row>
    <row r="914">
      <c r="G914" s="6"/>
    </row>
    <row r="915">
      <c r="G915" s="6"/>
    </row>
    <row r="916">
      <c r="G916" s="6"/>
    </row>
    <row r="917">
      <c r="G917" s="6"/>
    </row>
    <row r="918">
      <c r="G918" s="6"/>
    </row>
    <row r="919">
      <c r="G919" s="6"/>
    </row>
    <row r="920">
      <c r="G920" s="6"/>
    </row>
    <row r="921">
      <c r="G921" s="6"/>
    </row>
    <row r="922">
      <c r="G922" s="6"/>
    </row>
    <row r="923">
      <c r="G923" s="6"/>
    </row>
    <row r="924">
      <c r="G924" s="6"/>
    </row>
    <row r="925">
      <c r="G925" s="6"/>
    </row>
    <row r="926">
      <c r="G926" s="6"/>
    </row>
    <row r="927">
      <c r="G927" s="6"/>
    </row>
    <row r="928">
      <c r="G928" s="6"/>
    </row>
    <row r="929">
      <c r="G929" s="6"/>
    </row>
    <row r="930">
      <c r="G930" s="6"/>
    </row>
    <row r="931">
      <c r="G931" s="6"/>
    </row>
    <row r="932">
      <c r="G932" s="6"/>
    </row>
    <row r="933">
      <c r="G933" s="6"/>
    </row>
    <row r="934">
      <c r="G934" s="6"/>
    </row>
    <row r="935">
      <c r="G935" s="6"/>
    </row>
    <row r="936">
      <c r="G936" s="6"/>
    </row>
    <row r="937">
      <c r="G937" s="6"/>
    </row>
    <row r="938">
      <c r="G938" s="6"/>
    </row>
    <row r="939">
      <c r="G939" s="6"/>
    </row>
    <row r="940">
      <c r="G940" s="6"/>
    </row>
    <row r="941">
      <c r="G941" s="6"/>
    </row>
    <row r="942">
      <c r="G942" s="6"/>
    </row>
    <row r="943">
      <c r="G943" s="6"/>
    </row>
    <row r="944">
      <c r="G944" s="6"/>
    </row>
    <row r="945">
      <c r="G945" s="6"/>
    </row>
    <row r="946">
      <c r="G946" s="6"/>
    </row>
    <row r="947">
      <c r="G947" s="6"/>
    </row>
    <row r="948">
      <c r="G948" s="6"/>
    </row>
    <row r="949">
      <c r="G949" s="6"/>
    </row>
    <row r="950">
      <c r="G950" s="6"/>
    </row>
    <row r="951">
      <c r="G951" s="6"/>
    </row>
    <row r="952">
      <c r="G952" s="6"/>
    </row>
    <row r="953">
      <c r="G953" s="6"/>
    </row>
    <row r="954">
      <c r="G954" s="6"/>
    </row>
    <row r="955">
      <c r="G955" s="6"/>
    </row>
    <row r="956">
      <c r="G956" s="6"/>
    </row>
    <row r="957">
      <c r="G957" s="6"/>
    </row>
    <row r="958">
      <c r="G958" s="6"/>
    </row>
    <row r="959">
      <c r="G959" s="6"/>
    </row>
    <row r="960">
      <c r="G960" s="6"/>
    </row>
    <row r="961">
      <c r="G961" s="6"/>
    </row>
    <row r="962">
      <c r="G962" s="6"/>
    </row>
    <row r="963">
      <c r="G963" s="6"/>
    </row>
    <row r="964">
      <c r="G964" s="6"/>
    </row>
    <row r="965">
      <c r="G965" s="6"/>
    </row>
    <row r="966">
      <c r="G966" s="6"/>
    </row>
    <row r="967">
      <c r="G967" s="6"/>
    </row>
    <row r="968">
      <c r="G968" s="6"/>
    </row>
    <row r="969">
      <c r="G969" s="6"/>
    </row>
    <row r="970">
      <c r="G970" s="6"/>
    </row>
    <row r="971">
      <c r="G971" s="6"/>
    </row>
    <row r="972">
      <c r="G972" s="6"/>
    </row>
    <row r="973">
      <c r="G973" s="6"/>
    </row>
    <row r="974">
      <c r="G974" s="6"/>
    </row>
    <row r="975">
      <c r="G975" s="6"/>
    </row>
    <row r="976">
      <c r="G976" s="6"/>
    </row>
    <row r="977">
      <c r="G977" s="6"/>
    </row>
    <row r="978">
      <c r="G978" s="6"/>
    </row>
    <row r="979">
      <c r="G979" s="6"/>
    </row>
    <row r="980">
      <c r="G980" s="6"/>
    </row>
    <row r="981">
      <c r="G981" s="6"/>
    </row>
    <row r="982">
      <c r="G982" s="6"/>
    </row>
    <row r="983">
      <c r="G983" s="6"/>
    </row>
    <row r="984">
      <c r="G984" s="6"/>
    </row>
    <row r="985">
      <c r="G985" s="6"/>
    </row>
    <row r="986">
      <c r="G986" s="6"/>
    </row>
    <row r="987">
      <c r="G987" s="6"/>
    </row>
    <row r="988">
      <c r="G988" s="6"/>
    </row>
    <row r="989">
      <c r="G989" s="6"/>
    </row>
    <row r="990">
      <c r="G990" s="6"/>
    </row>
    <row r="991">
      <c r="G991" s="6"/>
    </row>
    <row r="992">
      <c r="G992" s="6"/>
    </row>
    <row r="993">
      <c r="G993" s="6"/>
    </row>
    <row r="994">
      <c r="G994" s="6"/>
    </row>
    <row r="995">
      <c r="G995" s="6"/>
    </row>
    <row r="996">
      <c r="G996" s="6"/>
    </row>
    <row r="997">
      <c r="G997" s="6"/>
    </row>
    <row r="998">
      <c r="G998" s="6"/>
    </row>
    <row r="999">
      <c r="G999" s="6"/>
    </row>
    <row r="1000">
      <c r="G1000" s="6"/>
    </row>
    <row r="1001">
      <c r="G1001" s="6"/>
    </row>
    <row r="1002">
      <c r="G1002" s="6"/>
    </row>
    <row r="1003">
      <c r="G1003" s="6"/>
    </row>
    <row r="1004">
      <c r="G1004" s="6"/>
    </row>
    <row r="1005">
      <c r="G1005" s="6"/>
    </row>
    <row r="1006">
      <c r="G1006" s="6"/>
    </row>
    <row r="1007">
      <c r="G1007" s="6"/>
    </row>
    <row r="1008">
      <c r="G1008" s="6"/>
    </row>
    <row r="1009">
      <c r="G1009" s="6"/>
    </row>
    <row r="1010">
      <c r="G1010" s="6"/>
    </row>
    <row r="1011">
      <c r="G1011" s="6"/>
    </row>
    <row r="1012">
      <c r="G1012" s="6"/>
    </row>
    <row r="1013">
      <c r="G1013" s="6"/>
    </row>
    <row r="1014">
      <c r="G1014" s="6"/>
    </row>
    <row r="1015">
      <c r="G1015" s="6"/>
    </row>
    <row r="1016">
      <c r="G1016" s="6"/>
    </row>
    <row r="1017">
      <c r="G1017" s="6"/>
    </row>
    <row r="1018">
      <c r="G1018" s="6"/>
    </row>
    <row r="1019">
      <c r="G1019" s="6"/>
    </row>
    <row r="1020">
      <c r="G1020" s="6"/>
    </row>
    <row r="1021">
      <c r="G1021" s="6"/>
    </row>
    <row r="1022">
      <c r="G1022" s="6"/>
    </row>
    <row r="1023">
      <c r="G1023" s="6"/>
    </row>
    <row r="1024">
      <c r="G1024" s="6"/>
    </row>
    <row r="1025">
      <c r="G1025" s="6"/>
    </row>
    <row r="1026">
      <c r="G1026" s="6"/>
    </row>
    <row r="1027">
      <c r="G1027" s="6"/>
    </row>
    <row r="1028">
      <c r="G1028" s="6"/>
    </row>
    <row r="1029">
      <c r="G1029" s="6"/>
    </row>
    <row r="1030">
      <c r="G1030" s="6"/>
    </row>
    <row r="1031">
      <c r="G1031" s="6"/>
    </row>
    <row r="1032">
      <c r="G1032" s="6"/>
    </row>
    <row r="1033">
      <c r="G1033" s="6"/>
    </row>
    <row r="1034">
      <c r="G1034" s="6"/>
    </row>
    <row r="1035">
      <c r="G1035" s="6"/>
    </row>
    <row r="1036">
      <c r="G1036" s="6"/>
    </row>
    <row r="1037">
      <c r="G1037" s="6"/>
    </row>
    <row r="1038">
      <c r="G1038" s="6"/>
    </row>
    <row r="1039">
      <c r="G1039" s="6"/>
    </row>
    <row r="1040">
      <c r="G1040" s="6"/>
    </row>
    <row r="1041">
      <c r="G1041" s="6"/>
    </row>
    <row r="1042">
      <c r="G1042" s="6"/>
    </row>
    <row r="1043">
      <c r="G1043" s="6"/>
    </row>
    <row r="1044">
      <c r="G1044" s="6"/>
    </row>
    <row r="1045">
      <c r="G1045" s="6"/>
    </row>
    <row r="1046">
      <c r="G1046" s="6"/>
    </row>
    <row r="1047">
      <c r="G1047" s="6"/>
    </row>
    <row r="1048">
      <c r="G1048" s="6"/>
    </row>
    <row r="1049">
      <c r="G1049" s="6"/>
    </row>
    <row r="1050">
      <c r="G1050" s="6"/>
    </row>
    <row r="1051">
      <c r="G1051" s="6"/>
    </row>
    <row r="1052">
      <c r="G1052" s="6"/>
    </row>
    <row r="1053">
      <c r="G1053" s="6"/>
    </row>
    <row r="1054">
      <c r="G1054" s="6"/>
    </row>
    <row r="1055">
      <c r="G1055" s="6"/>
    </row>
    <row r="1056">
      <c r="G1056" s="6"/>
    </row>
    <row r="1057">
      <c r="G1057" s="6"/>
    </row>
    <row r="1058">
      <c r="G1058" s="6"/>
    </row>
    <row r="1059">
      <c r="G1059" s="6"/>
    </row>
    <row r="1060">
      <c r="G1060" s="6"/>
    </row>
    <row r="1061">
      <c r="G1061" s="6"/>
    </row>
    <row r="1062">
      <c r="G1062" s="6"/>
    </row>
    <row r="1063">
      <c r="G1063" s="6"/>
    </row>
    <row r="1064">
      <c r="G1064" s="6"/>
    </row>
    <row r="1065">
      <c r="G1065" s="6"/>
    </row>
    <row r="1066">
      <c r="G1066" s="6"/>
    </row>
    <row r="1067">
      <c r="G1067" s="6"/>
    </row>
    <row r="1068">
      <c r="G1068" s="6"/>
    </row>
    <row r="1069">
      <c r="G1069" s="6"/>
    </row>
    <row r="1070">
      <c r="G1070" s="6"/>
    </row>
    <row r="1071">
      <c r="G1071" s="6"/>
    </row>
    <row r="1072">
      <c r="G1072" s="6"/>
    </row>
    <row r="1073">
      <c r="G1073" s="6"/>
    </row>
    <row r="1074">
      <c r="G1074" s="6"/>
    </row>
    <row r="1075">
      <c r="G1075" s="6"/>
    </row>
    <row r="1076">
      <c r="G1076" s="6"/>
    </row>
    <row r="1077">
      <c r="G1077" s="6"/>
    </row>
    <row r="1078">
      <c r="G1078" s="6"/>
    </row>
    <row r="1079">
      <c r="G1079" s="6"/>
    </row>
    <row r="1080">
      <c r="G1080" s="6"/>
    </row>
    <row r="1081">
      <c r="G1081" s="6"/>
    </row>
    <row r="1082">
      <c r="G1082" s="6"/>
    </row>
    <row r="1083">
      <c r="G1083" s="6"/>
    </row>
    <row r="1084">
      <c r="G1084" s="6"/>
    </row>
    <row r="1085">
      <c r="G1085" s="6"/>
    </row>
    <row r="1086">
      <c r="G1086" s="6"/>
    </row>
    <row r="1087">
      <c r="G1087" s="6"/>
    </row>
    <row r="1088">
      <c r="G1088" s="6"/>
    </row>
    <row r="1089">
      <c r="G1089" s="6"/>
    </row>
    <row r="1090">
      <c r="G1090" s="6"/>
    </row>
    <row r="1091">
      <c r="G1091" s="6"/>
    </row>
    <row r="1092">
      <c r="G1092" s="6"/>
    </row>
    <row r="1093">
      <c r="G1093" s="6"/>
    </row>
    <row r="1094">
      <c r="G1094" s="6"/>
    </row>
    <row r="1095">
      <c r="G1095" s="6"/>
    </row>
    <row r="1096">
      <c r="G1096" s="6"/>
    </row>
    <row r="1097">
      <c r="G1097" s="6"/>
    </row>
    <row r="1098">
      <c r="G1098" s="6"/>
    </row>
    <row r="1099">
      <c r="G1099" s="6"/>
    </row>
    <row r="1100">
      <c r="G1100" s="6"/>
    </row>
    <row r="1101">
      <c r="G1101" s="6"/>
    </row>
    <row r="1102">
      <c r="G1102" s="6"/>
    </row>
    <row r="1103">
      <c r="G1103" s="6"/>
    </row>
    <row r="1104">
      <c r="G1104" s="6"/>
    </row>
    <row r="1105">
      <c r="G1105" s="6"/>
    </row>
    <row r="1106">
      <c r="G1106" s="6"/>
    </row>
    <row r="1107">
      <c r="G1107" s="6"/>
    </row>
    <row r="1108">
      <c r="G1108" s="6"/>
    </row>
    <row r="1109">
      <c r="G1109" s="6"/>
    </row>
    <row r="1110">
      <c r="G1110" s="6"/>
    </row>
    <row r="1111">
      <c r="G1111" s="6"/>
    </row>
    <row r="1112">
      <c r="G1112" s="6"/>
    </row>
    <row r="1113">
      <c r="G1113" s="6"/>
    </row>
    <row r="1114">
      <c r="G1114" s="6"/>
    </row>
    <row r="1115">
      <c r="G1115" s="6"/>
    </row>
    <row r="1116">
      <c r="G1116" s="6"/>
    </row>
    <row r="1117">
      <c r="G1117" s="6"/>
    </row>
    <row r="1118">
      <c r="G1118" s="6"/>
    </row>
    <row r="1119">
      <c r="G1119" s="6"/>
    </row>
    <row r="1120">
      <c r="G1120" s="6"/>
    </row>
    <row r="1121">
      <c r="G1121" s="6"/>
    </row>
    <row r="1122">
      <c r="G1122" s="6"/>
    </row>
    <row r="1123">
      <c r="G1123" s="6"/>
    </row>
    <row r="1124">
      <c r="G1124" s="6"/>
    </row>
    <row r="1125">
      <c r="G1125" s="6"/>
    </row>
    <row r="1126">
      <c r="G1126" s="6"/>
    </row>
    <row r="1127">
      <c r="G1127" s="6"/>
    </row>
    <row r="1128">
      <c r="G1128" s="6"/>
    </row>
    <row r="1129">
      <c r="G1129" s="6"/>
    </row>
    <row r="1130">
      <c r="G1130" s="6"/>
    </row>
    <row r="1131">
      <c r="G1131" s="6"/>
    </row>
    <row r="1132">
      <c r="G1132" s="6"/>
    </row>
    <row r="1133">
      <c r="G1133" s="6"/>
    </row>
    <row r="1134">
      <c r="G1134" s="6"/>
    </row>
    <row r="1135">
      <c r="G1135" s="6"/>
    </row>
    <row r="1136">
      <c r="G1136" s="6"/>
    </row>
    <row r="1137">
      <c r="G1137" s="6"/>
    </row>
    <row r="1138">
      <c r="G1138" s="6"/>
    </row>
    <row r="1139">
      <c r="G1139" s="6"/>
    </row>
    <row r="1140">
      <c r="G1140" s="6"/>
    </row>
    <row r="1141">
      <c r="G1141" s="6"/>
    </row>
    <row r="1142">
      <c r="G1142" s="6"/>
    </row>
    <row r="1143">
      <c r="G1143" s="6"/>
    </row>
    <row r="1144">
      <c r="G1144" s="6"/>
    </row>
    <row r="1145">
      <c r="G1145" s="6"/>
    </row>
    <row r="1146">
      <c r="G1146" s="6"/>
    </row>
    <row r="1147">
      <c r="G1147" s="6"/>
    </row>
    <row r="1148">
      <c r="G1148" s="6"/>
    </row>
    <row r="1149">
      <c r="G1149" s="6"/>
    </row>
    <row r="1150">
      <c r="G1150" s="6"/>
    </row>
    <row r="1151">
      <c r="G1151" s="6"/>
    </row>
    <row r="1152">
      <c r="G1152" s="6"/>
    </row>
    <row r="1153">
      <c r="G1153" s="6"/>
    </row>
    <row r="1154">
      <c r="G1154" s="6"/>
    </row>
    <row r="1155">
      <c r="G1155" s="6"/>
    </row>
    <row r="1156">
      <c r="G1156" s="6"/>
    </row>
    <row r="1157">
      <c r="G1157" s="6"/>
    </row>
    <row r="1158">
      <c r="G1158" s="6"/>
    </row>
    <row r="1159">
      <c r="G1159" s="6"/>
    </row>
    <row r="1160">
      <c r="G1160" s="6"/>
    </row>
    <row r="1161">
      <c r="G1161" s="6"/>
    </row>
    <row r="1162">
      <c r="G1162" s="6"/>
    </row>
    <row r="1163">
      <c r="G116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232</v>
      </c>
      <c r="C1" s="7" t="s">
        <v>233</v>
      </c>
      <c r="D1" s="7" t="s">
        <v>234</v>
      </c>
      <c r="E1" s="7" t="s">
        <v>235</v>
      </c>
    </row>
    <row r="2">
      <c r="A2" s="7" t="s">
        <v>16</v>
      </c>
      <c r="B2" s="7">
        <v>5.0</v>
      </c>
      <c r="C2" s="7">
        <v>0.0</v>
      </c>
      <c r="D2" s="7">
        <v>3.0</v>
      </c>
      <c r="E2" s="8">
        <v>46141.0</v>
      </c>
    </row>
    <row r="3">
      <c r="A3" s="7" t="s">
        <v>16</v>
      </c>
      <c r="B3" s="7">
        <v>5.0</v>
      </c>
      <c r="C3" s="7">
        <v>0.0</v>
      </c>
      <c r="D3" s="7">
        <v>3.0</v>
      </c>
      <c r="E3" s="8">
        <v>46141.0</v>
      </c>
    </row>
    <row r="4">
      <c r="A4" s="7" t="s">
        <v>22</v>
      </c>
      <c r="B4" s="7">
        <v>3.0</v>
      </c>
      <c r="C4" s="7">
        <v>0.0</v>
      </c>
      <c r="D4" s="7">
        <v>4.0</v>
      </c>
      <c r="E4" s="8">
        <v>46141.0</v>
      </c>
    </row>
    <row r="5">
      <c r="A5" s="7" t="s">
        <v>26</v>
      </c>
      <c r="B5" s="7">
        <v>2.0</v>
      </c>
      <c r="C5" s="7">
        <v>2.0</v>
      </c>
      <c r="D5" s="7">
        <v>3.0</v>
      </c>
      <c r="E5" s="8">
        <v>46141.0</v>
      </c>
    </row>
    <row r="6">
      <c r="A6" s="7" t="s">
        <v>30</v>
      </c>
      <c r="B6" s="7">
        <v>2.0</v>
      </c>
      <c r="C6" s="7">
        <v>0.0</v>
      </c>
      <c r="D6" s="7">
        <v>4.0</v>
      </c>
      <c r="E6" s="8">
        <v>46141.0</v>
      </c>
    </row>
    <row r="7">
      <c r="A7" s="7" t="s">
        <v>34</v>
      </c>
      <c r="B7" s="7">
        <v>2.0</v>
      </c>
      <c r="C7" s="7">
        <v>2.0</v>
      </c>
      <c r="D7" s="7">
        <v>3.0</v>
      </c>
      <c r="E7" s="8">
        <v>46141.0</v>
      </c>
    </row>
    <row r="8">
      <c r="A8" s="7" t="s">
        <v>42</v>
      </c>
      <c r="B8" s="7">
        <v>2.0</v>
      </c>
      <c r="C8" s="7">
        <v>2.0</v>
      </c>
      <c r="D8" s="7">
        <v>5.0</v>
      </c>
      <c r="E8" s="8">
        <v>46141.0</v>
      </c>
    </row>
    <row r="9">
      <c r="A9" s="7" t="s">
        <v>46</v>
      </c>
      <c r="B9" s="7">
        <v>2.0</v>
      </c>
      <c r="C9" s="7">
        <v>1.0</v>
      </c>
      <c r="D9" s="7">
        <v>3.0</v>
      </c>
      <c r="E9" s="8">
        <v>46141.0</v>
      </c>
    </row>
    <row r="10">
      <c r="A10" s="7" t="s">
        <v>46</v>
      </c>
      <c r="B10" s="7">
        <v>1.0</v>
      </c>
      <c r="C10" s="7">
        <v>0.0</v>
      </c>
      <c r="D10" s="7">
        <v>2.0</v>
      </c>
      <c r="E10" s="8">
        <v>46141.0</v>
      </c>
    </row>
    <row r="11">
      <c r="A11" s="7" t="s">
        <v>46</v>
      </c>
      <c r="B11" s="7">
        <v>1.0</v>
      </c>
      <c r="C11" s="7">
        <v>0.0</v>
      </c>
      <c r="D11" s="7">
        <v>3.0</v>
      </c>
      <c r="E11" s="8">
        <v>46141.0</v>
      </c>
    </row>
    <row r="12">
      <c r="A12" s="7" t="s">
        <v>54</v>
      </c>
      <c r="B12" s="7">
        <v>8.0</v>
      </c>
      <c r="C12" s="7">
        <v>0.0</v>
      </c>
      <c r="D12" s="7">
        <v>6.0</v>
      </c>
      <c r="E12" s="8">
        <v>46142.0</v>
      </c>
    </row>
    <row r="13">
      <c r="A13" s="7" t="s">
        <v>54</v>
      </c>
      <c r="B13" s="7">
        <v>8.0</v>
      </c>
      <c r="C13" s="7">
        <v>0.0</v>
      </c>
      <c r="D13" s="7">
        <v>6.0</v>
      </c>
      <c r="E13" s="8">
        <v>46142.0</v>
      </c>
    </row>
    <row r="14">
      <c r="A14" s="7" t="s">
        <v>88</v>
      </c>
      <c r="B14" s="7">
        <v>17.0</v>
      </c>
      <c r="C14" s="7">
        <v>4.0</v>
      </c>
      <c r="D14" s="7">
        <v>10.0</v>
      </c>
      <c r="E14" s="8">
        <v>46143.0</v>
      </c>
    </row>
    <row r="15">
      <c r="A15" s="7" t="s">
        <v>92</v>
      </c>
      <c r="B15" s="7">
        <v>17.0</v>
      </c>
      <c r="C15" s="7">
        <v>4.0</v>
      </c>
      <c r="D15" s="7">
        <v>10.0</v>
      </c>
      <c r="E15" s="8">
        <v>46144.0</v>
      </c>
    </row>
    <row r="16">
      <c r="A16" s="7" t="s">
        <v>92</v>
      </c>
      <c r="B16" s="7">
        <v>17.0</v>
      </c>
      <c r="C16" s="7">
        <v>4.0</v>
      </c>
      <c r="D16" s="7">
        <v>10.0</v>
      </c>
      <c r="E16" s="8">
        <v>46144.0</v>
      </c>
    </row>
    <row r="17">
      <c r="A17" s="7" t="s">
        <v>92</v>
      </c>
      <c r="B17" s="7">
        <v>17.0</v>
      </c>
      <c r="C17" s="7">
        <v>4.0</v>
      </c>
      <c r="D17" s="7">
        <v>10.0</v>
      </c>
      <c r="E17" s="8">
        <v>46144.0</v>
      </c>
    </row>
  </sheetData>
  <drawing r:id="rId1"/>
</worksheet>
</file>